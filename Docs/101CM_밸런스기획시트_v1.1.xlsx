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조정값" sheetId="2" state="visible" r:id="rId4"/>
    <sheet name="음식종류" sheetId="3" state="visible" r:id="rId5"/>
    <sheet name="구역" sheetId="4" state="visible" r:id="rId6"/>
    <sheet name="음식배치" sheetId="5" state="visible" r:id="rId7"/>
    <sheet name="길이별수치" sheetId="6" state="visible" r:id="rId8"/>
    <sheet name="예고시간점검" sheetId="7" state="visible" r:id="rId9"/>
    <sheet name="변경기록" sheetId="8" state="visible" r:id="rId10"/>
  </sheets>
  <definedNames>
    <definedName function="false" hidden="true" localSheetId="1" name="_xlnm._FilterDatabase" vbProcedure="false">조정값!$A$1:$K$170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<sst xmlns="http://schemas.openxmlformats.org/spreadsheetml/2006/main" count="1694" uniqueCount="1012">
  <si>
    <r>
      <rPr>
        <b val="true"/>
        <sz val="14"/>
        <rFont val="Arial"/>
        <family val="0"/>
        <charset val="1"/>
      </rPr>
      <t xml:space="preserve">101CM </t>
    </r>
    <r>
      <rPr>
        <b val="true"/>
        <sz val="14"/>
        <rFont val="Noto Sans CJK SC"/>
        <family val="2"/>
      </rPr>
      <t xml:space="preserve">밸런스기획시트 </t>
    </r>
    <r>
      <rPr>
        <b val="true"/>
        <sz val="14"/>
        <rFont val="Arial"/>
        <family val="0"/>
        <charset val="1"/>
      </rPr>
      <t xml:space="preserve">v1.1</t>
    </r>
  </si>
  <si>
    <t xml:space="preserve">기준</t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</si>
  <si>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v0.4 (2026-09-29), </t>
    </r>
    <r>
      <rPr>
        <sz val="10"/>
        <rFont val="Noto Sans CJK SC"/>
        <family val="2"/>
      </rPr>
      <t xml:space="preserve">결정 기록 </t>
    </r>
    <r>
      <rPr>
        <sz val="10"/>
        <rFont val="Arial"/>
        <family val="0"/>
        <charset val="1"/>
      </rPr>
      <t xml:space="preserve">(2026-09-28 · 09-29), </t>
    </r>
    <r>
      <rPr>
        <sz val="10"/>
        <rFont val="Noto Sans CJK SC"/>
        <family val="2"/>
      </rPr>
      <t xml:space="preserve">본제작 그레이박스 코드 </t>
    </r>
    <r>
      <rPr>
        <sz val="10"/>
        <rFont val="Arial"/>
        <family val="0"/>
        <charset val="1"/>
      </rPr>
      <t xml:space="preserve">(101CM_Game, 2026-09-30)</t>
    </r>
  </si>
  <si>
    <t xml:space="preserve">짝 문서</t>
  </si>
  <si>
    <r>
      <rPr>
        <sz val="10"/>
        <rFont val="Arial"/>
        <family val="0"/>
        <charset val="1"/>
      </rPr>
      <t xml:space="preserve">101CM </t>
    </r>
    <r>
      <rPr>
        <sz val="10"/>
        <rFont val="Noto Sans CJK SC"/>
        <family val="2"/>
      </rPr>
      <t xml:space="preserve">시스템기획서 </t>
    </r>
    <r>
      <rPr>
        <sz val="10"/>
        <rFont val="Arial"/>
        <family val="0"/>
        <charset val="1"/>
      </rPr>
      <t xml:space="preserve">v1.1 · 101CM </t>
    </r>
    <r>
      <rPr>
        <sz val="10"/>
        <rFont val="Noto Sans CJK SC"/>
        <family val="2"/>
      </rPr>
      <t xml:space="preserve">레벨 문서 </t>
    </r>
    <r>
      <rPr>
        <sz val="10"/>
        <rFont val="Arial"/>
        <family val="0"/>
        <charset val="1"/>
      </rPr>
      <t xml:space="preserve">v0.2</t>
    </r>
  </si>
  <si>
    <t xml:space="preserve">시트</t>
  </si>
  <si>
    <t xml:space="preserve">조정값</t>
  </si>
  <si>
    <r>
      <rPr>
        <sz val="10"/>
        <rFont val="Noto Sans CJK SC"/>
        <family val="2"/>
      </rPr>
      <t xml:space="preserve">모든 조정 수치</t>
    </r>
    <r>
      <rPr>
        <sz val="10"/>
        <rFont val="Arial"/>
        <family val="0"/>
        <charset val="1"/>
      </rPr>
      <t xml:space="preserve">. ID</t>
    </r>
    <r>
      <rPr>
        <sz val="10"/>
        <rFont val="Noto Sans CJK SC"/>
        <family val="2"/>
      </rPr>
      <t xml:space="preserve">는 시스템기획서와 코드에서 같은 이름으로 쓴다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현재 적용값</t>
    </r>
    <r>
      <rPr>
        <sz val="10"/>
        <rFont val="Arial"/>
        <family val="0"/>
        <charset val="1"/>
      </rPr>
      <t xml:space="preserve">'(G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게임에 들어간 값이다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값을 바꾸면 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열과 변경기록을 함께 고친다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삭제된 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는 맨 아래에 회색으로 남겼다</t>
    </r>
    <r>
      <rPr>
        <sz val="10"/>
        <rFont val="Arial"/>
        <family val="0"/>
        <charset val="1"/>
      </rPr>
      <t xml:space="preserve">.</t>
    </r>
  </si>
  <si>
    <t xml:space="preserve">음식종류</t>
  </si>
  <si>
    <r>
      <rPr>
        <sz val="10"/>
        <rFont val="Noto Sans CJK SC"/>
        <family val="2"/>
      </rPr>
      <t xml:space="preserve">음식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종의 증가량과 젤리 크기</t>
    </r>
    <r>
      <rPr>
        <sz val="10"/>
        <rFont val="Arial"/>
        <family val="0"/>
        <charset val="1"/>
      </rPr>
      <t xml:space="preserve">.</t>
    </r>
  </si>
  <si>
    <t xml:space="preserve">음식배치</t>
  </si>
  <si>
    <r>
      <rPr>
        <sz val="10"/>
        <rFont val="Noto Sans CJK SC"/>
        <family val="2"/>
      </rPr>
      <t xml:space="preserve">구역별 음식 개수 → 합계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누적 길이</t>
    </r>
    <r>
      <rPr>
        <sz val="10"/>
        <rFont val="Arial"/>
        <family val="0"/>
        <charset val="1"/>
      </rPr>
      <t xml:space="preserve">·90cm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아래에 개별 음식 목록</t>
    </r>
    <r>
      <rPr>
        <sz val="10"/>
        <rFont val="Arial"/>
        <family val="0"/>
        <charset val="1"/>
      </rPr>
      <t xml:space="preserve">(ID·</t>
    </r>
    <r>
      <rPr>
        <sz val="10"/>
        <rFont val="Noto Sans CJK SC"/>
        <family val="2"/>
      </rPr>
      <t xml:space="preserve">좌표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높이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프로토타입 배치 비교</t>
    </r>
    <r>
      <rPr>
        <sz val="10"/>
        <rFont val="Arial"/>
        <family val="0"/>
        <charset val="1"/>
      </rPr>
      <t xml:space="preserve">.</t>
    </r>
  </si>
  <si>
    <t xml:space="preserve">구역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</si>
  <si>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구역</t>
    </r>
    <r>
      <rPr>
        <sz val="10"/>
        <rFont val="Arial"/>
        <family val="0"/>
        <charset val="1"/>
      </rPr>
      <t xml:space="preserve">(Z0~Z6)</t>
    </r>
    <r>
      <rPr>
        <sz val="10"/>
        <rFont val="Noto Sans CJK SC"/>
        <family val="2"/>
      </rPr>
      <t xml:space="preserve">의 범위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구역 안내판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보충 지점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은신처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목표 시간</t>
    </r>
    <r>
      <rPr>
        <sz val="10"/>
        <rFont val="Arial"/>
        <family val="0"/>
        <charset val="1"/>
      </rPr>
      <t xml:space="preserve">.</t>
    </r>
  </si>
  <si>
    <t xml:space="preserve">길이별수치</t>
  </si>
  <si>
    <r>
      <rPr>
        <sz val="10"/>
        <rFont val="Noto Sans CJK SC"/>
        <family val="2"/>
      </rPr>
      <t xml:space="preserve">길이 </t>
    </r>
    <r>
      <rPr>
        <sz val="10"/>
        <rFont val="Arial"/>
        <family val="0"/>
        <charset val="1"/>
      </rPr>
      <t xml:space="preserve">10~100cm</t>
    </r>
    <r>
      <rPr>
        <sz val="10"/>
        <rFont val="Noto Sans CJK SC"/>
        <family val="2"/>
      </rPr>
      <t xml:space="preserve">에서 걷기 속도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청소기 탈출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카메라 거리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꼬리 길이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레벨 규격을 정할 때 쓴다</t>
    </r>
    <r>
      <rPr>
        <sz val="10"/>
        <rFont val="Arial"/>
        <family val="0"/>
        <charset val="1"/>
      </rPr>
      <t xml:space="preserve">.</t>
    </r>
  </si>
  <si>
    <t xml:space="preserve">예고시간점검</t>
  </si>
  <si>
    <r>
      <rPr>
        <sz val="10"/>
        <rFont val="Noto Sans CJK SC"/>
        <family val="2"/>
      </rPr>
      <t xml:space="preserve">위험별 예고 시간이 </t>
    </r>
    <r>
      <rPr>
        <sz val="10"/>
        <rFont val="Arial"/>
        <family val="0"/>
        <charset val="1"/>
      </rPr>
      <t xml:space="preserve">100cm </t>
    </r>
    <r>
      <rPr>
        <sz val="10"/>
        <rFont val="Noto Sans CJK SC"/>
        <family val="2"/>
      </rPr>
      <t xml:space="preserve">무리에게도 충분한지 계산한다</t>
    </r>
    <r>
      <rPr>
        <sz val="10"/>
        <rFont val="Arial"/>
        <family val="0"/>
        <charset val="1"/>
      </rPr>
      <t xml:space="preserve">.</t>
    </r>
  </si>
  <si>
    <t xml:space="preserve">변경기록</t>
  </si>
  <si>
    <r>
      <rPr>
        <sz val="10"/>
        <rFont val="Noto Sans CJK SC"/>
        <family val="2"/>
      </rPr>
      <t xml:space="preserve">값을 바꿀 때마다 날짜</t>
    </r>
    <r>
      <rPr>
        <sz val="10"/>
        <rFont val="Arial"/>
        <family val="0"/>
        <charset val="1"/>
      </rPr>
      <t xml:space="preserve">·ID·</t>
    </r>
    <r>
      <rPr>
        <sz val="10"/>
        <rFont val="Noto Sans CJK SC"/>
        <family val="2"/>
      </rPr>
      <t xml:space="preserve">이전 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새 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이유를 적는다</t>
    </r>
    <r>
      <rPr>
        <sz val="10"/>
        <rFont val="Arial"/>
        <family val="0"/>
        <charset val="1"/>
      </rPr>
      <t xml:space="preserve">.</t>
    </r>
  </si>
  <si>
    <t xml:space="preserve">색 규칙</t>
  </si>
  <si>
    <t xml:space="preserve">파란 글씨</t>
  </si>
  <si>
    <r>
      <rPr>
        <sz val="10"/>
        <rFont val="Noto Sans CJK SC"/>
        <family val="2"/>
      </rPr>
      <t xml:space="preserve">직접 넣은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코드에서 옮긴 값 포함</t>
    </r>
    <r>
      <rPr>
        <sz val="10"/>
        <rFont val="Arial"/>
        <family val="0"/>
        <charset val="1"/>
      </rPr>
      <t xml:space="preserve">)</t>
    </r>
  </si>
  <si>
    <t xml:space="preserve">노란 칸</t>
  </si>
  <si>
    <t xml:space="preserve">고칠 수 있는 입력 칸</t>
  </si>
  <si>
    <t xml:space="preserve">검은 글씨</t>
  </si>
  <si>
    <r>
      <rPr>
        <sz val="10"/>
        <rFont val="Noto Sans CJK SC"/>
        <family val="2"/>
      </rPr>
      <t xml:space="preserve">수식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직접 고치지 않는다</t>
    </r>
  </si>
  <si>
    <t xml:space="preserve">초록 글씨</t>
  </si>
  <si>
    <t xml:space="preserve">다른 시트에서 가져온 값</t>
  </si>
  <si>
    <t xml:space="preserve">빨간 칸</t>
  </si>
  <si>
    <r>
      <rPr>
        <sz val="10"/>
        <rFont val="Noto Sans CJK SC"/>
        <family val="2"/>
      </rPr>
      <t xml:space="preserve">조정값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기획서 값과 현재 적용값이 다름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실패</t>
    </r>
  </si>
  <si>
    <t xml:space="preserve">상태</t>
  </si>
  <si>
    <t xml:space="preserve">확정</t>
  </si>
  <si>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v0.4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9/28·9/29 </t>
    </r>
    <r>
      <rPr>
        <sz val="10"/>
        <rFont val="Noto Sans CJK SC"/>
        <family val="2"/>
      </rPr>
      <t xml:space="preserve">결정으로 정해진 값</t>
    </r>
  </si>
  <si>
    <t xml:space="preserve">조정 중</t>
  </si>
  <si>
    <t xml:space="preserve">코드 값을 그대로 쓰고 테스트로 조정할 값</t>
  </si>
  <si>
    <r>
      <rPr>
        <b val="true"/>
        <sz val="10"/>
        <rFont val="Arial"/>
        <family val="0"/>
        <charset val="1"/>
      </rPr>
      <t xml:space="preserve">Beta </t>
    </r>
    <r>
      <rPr>
        <b val="true"/>
        <sz val="10"/>
        <rFont val="Noto Sans CJK SC"/>
        <family val="2"/>
      </rPr>
      <t xml:space="preserve">신규</t>
    </r>
  </si>
  <si>
    <r>
      <rPr>
        <sz val="10"/>
        <rFont val="Arial"/>
        <family val="0"/>
        <charset val="1"/>
      </rPr>
      <t xml:space="preserve">Beta</t>
    </r>
    <r>
      <rPr>
        <sz val="10"/>
        <rFont val="Noto Sans CJK SC"/>
        <family val="2"/>
      </rPr>
      <t xml:space="preserve">에서 새로 만드는 기능의 초기값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구현 후 실측</t>
    </r>
  </si>
  <si>
    <t xml:space="preserve">삭제</t>
  </si>
  <si>
    <r>
      <rPr>
        <sz val="10"/>
        <rFont val="Arial"/>
        <family val="0"/>
        <charset val="1"/>
      </rPr>
      <t xml:space="preserve">v1.1</t>
    </r>
    <r>
      <rPr>
        <sz val="10"/>
        <rFont val="Noto Sans CJK SC"/>
        <family val="2"/>
      </rPr>
      <t xml:space="preserve">에서 없앤 규칙의 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직원 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은신 판정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체크포인트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참고용으로 남김</t>
    </r>
  </si>
  <si>
    <t xml:space="preserve">단위</t>
  </si>
  <si>
    <r>
      <rPr>
        <sz val="10"/>
        <rFont val="Arial"/>
        <family val="0"/>
        <charset val="1"/>
      </rPr>
      <t xml:space="preserve">u = </t>
    </r>
    <r>
      <rPr>
        <sz val="10"/>
        <rFont val="Noto Sans CJK SC"/>
        <family val="2"/>
      </rPr>
      <t xml:space="preserve">유닛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타일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선두 몸 크기 </t>
    </r>
    <r>
      <rPr>
        <sz val="10"/>
        <rFont val="Arial"/>
        <family val="0"/>
        <charset val="1"/>
      </rPr>
      <t xml:space="preserve">0.6u. cm</t>
    </r>
    <r>
      <rPr>
        <sz val="10"/>
        <rFont val="Noto Sans CJK SC"/>
        <family val="2"/>
      </rPr>
      <t xml:space="preserve">는 진행 수치이고 월드 거리와 관계없다</t>
    </r>
    <r>
      <rPr>
        <sz val="10"/>
        <rFont val="Arial"/>
        <family val="0"/>
        <charset val="1"/>
      </rPr>
      <t xml:space="preserve">.</t>
    </r>
  </si>
  <si>
    <t xml:space="preserve">코드로 옮기기</t>
  </si>
  <si>
    <r>
      <rPr>
        <sz val="10"/>
        <rFont val="Noto Sans CJK SC"/>
        <family val="2"/>
      </rPr>
      <t xml:space="preserve">현재는 각 컴포넌트의 </t>
    </r>
    <r>
      <rPr>
        <sz val="10"/>
        <rFont val="Arial"/>
        <family val="0"/>
        <charset val="1"/>
      </rPr>
      <t xml:space="preserve">public </t>
    </r>
    <r>
      <rPr>
        <sz val="10"/>
        <rFont val="Noto Sans CJK SC"/>
        <family val="2"/>
      </rPr>
      <t xml:space="preserve">필드와 레벨 빌더</t>
    </r>
    <r>
      <rPr>
        <sz val="10"/>
        <rFont val="Arial"/>
        <family val="0"/>
        <charset val="1"/>
      </rPr>
      <t xml:space="preserve">(LevelBuilder.cs)</t>
    </r>
    <r>
      <rPr>
        <sz val="10"/>
        <rFont val="Noto Sans CJK SC"/>
        <family val="2"/>
      </rPr>
      <t xml:space="preserve">의 씬 값이다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코드 위치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). Beta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'SO </t>
    </r>
    <r>
      <rPr>
        <sz val="10"/>
        <rFont val="Noto Sans CJK SC"/>
        <family val="2"/>
      </rPr>
      <t xml:space="preserve">필드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 이름대로 </t>
    </r>
    <r>
      <rPr>
        <sz val="10"/>
        <rFont val="Arial"/>
        <family val="0"/>
        <charset val="1"/>
      </rPr>
      <t xml:space="preserve">ScriptableObject</t>
    </r>
    <r>
      <rPr>
        <sz val="10"/>
        <rFont val="Noto Sans CJK SC"/>
        <family val="2"/>
      </rPr>
      <t xml:space="preserve">를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시트를 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로 내보내 에디터 도구로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기준으로 넣는다</t>
    </r>
    <r>
      <rPr>
        <sz val="10"/>
        <rFont val="Arial"/>
        <family val="0"/>
        <charset val="1"/>
      </rPr>
      <t xml:space="preserve">.</t>
    </r>
  </si>
  <si>
    <t xml:space="preserve">ID</t>
  </si>
  <si>
    <t xml:space="preserve">시스템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</si>
  <si>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</si>
  <si>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기획서 </t>
    </r>
    <r>
      <rPr>
        <b val="true"/>
        <sz val="10"/>
        <color rgb="FFFFFFFF"/>
        <rFont val="Arial"/>
        <family val="0"/>
        <charset val="1"/>
      </rPr>
      <t xml:space="preserve">v0.4</t>
    </r>
  </si>
  <si>
    <r>
      <rPr>
        <b val="true"/>
        <sz val="10"/>
        <color rgb="FFFFFFFF"/>
        <rFont val="Arial"/>
        <family val="0"/>
        <charset val="1"/>
      </rPr>
      <t xml:space="preserve">v1.0 </t>
    </r>
    <r>
      <rPr>
        <b val="true"/>
        <sz val="10"/>
        <color rgb="FFFFFFFF"/>
        <rFont val="Noto Sans CJK SC"/>
        <family val="2"/>
      </rPr>
      <t xml:space="preserve">적용값</t>
    </r>
  </si>
  <si>
    <t xml:space="preserve">현재 적용값</t>
  </si>
  <si>
    <r>
      <rPr>
        <b val="true"/>
        <sz val="10"/>
        <color rgb="FFFFFFFF"/>
        <rFont val="Noto Sans CJK SC"/>
        <family val="2"/>
      </rPr>
      <t xml:space="preserve">코드 위치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</si>
  <si>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SO </t>
    </r>
    <r>
      <rPr>
        <b val="true"/>
        <sz val="10"/>
        <color rgb="FFFFFFFF"/>
        <rFont val="Noto Sans CJK SC"/>
        <family val="2"/>
      </rPr>
      <t xml:space="preserve">필드 </t>
    </r>
    <r>
      <rPr>
        <b val="true"/>
        <sz val="10"/>
        <color rgb="FFFFFFFF"/>
        <rFont val="Arial"/>
        <family val="0"/>
        <charset val="1"/>
      </rPr>
      <t xml:space="preserve">(Beta)</t>
    </r>
  </si>
  <si>
    <t xml:space="preserve">비고</t>
  </si>
  <si>
    <t xml:space="preserve">선두 이동</t>
  </si>
  <si>
    <t xml:space="preserve">LDR_BODY_SIZE</t>
  </si>
  <si>
    <t xml:space="preserve">선두</t>
  </si>
  <si>
    <t xml:space="preserve">선두 몸 크기</t>
  </si>
  <si>
    <t xml:space="preserve">u</t>
  </si>
  <si>
    <t xml:space="preserve">LeaderController.bodySize</t>
  </si>
  <si>
    <t xml:space="preserve">GameBalance.leader.bodySize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</si>
  <si>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타일 </t>
    </r>
    <r>
      <rPr>
        <sz val="10"/>
        <color rgb="FF000000"/>
        <rFont val="Arial"/>
        <family val="0"/>
        <charset val="1"/>
      </rPr>
      <t xml:space="preserve">= 1</t>
    </r>
    <r>
      <rPr>
        <sz val="10"/>
        <color rgb="FF000000"/>
        <rFont val="Noto Sans CJK SC"/>
        <family val="2"/>
      </rPr>
      <t xml:space="preserve">유닛 ≈ 몸길이 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배</t>
    </r>
  </si>
  <si>
    <t xml:space="preserve">LDR_WALK_SPEED</t>
  </si>
  <si>
    <r>
      <rPr>
        <sz val="10"/>
        <color rgb="FF000000"/>
        <rFont val="Noto Sans CJK SC"/>
        <family val="2"/>
      </rPr>
      <t xml:space="preserve">걷기 속도 </t>
    </r>
    <r>
      <rPr>
        <sz val="10"/>
        <color rgb="FF000000"/>
        <rFont val="Arial"/>
        <family val="0"/>
        <charset val="1"/>
      </rPr>
      <t xml:space="preserve">(10cm)</t>
    </r>
  </si>
  <si>
    <t xml:space="preserve">u/s</t>
  </si>
  <si>
    <t xml:space="preserve">LeaderController.walkSpeed</t>
  </si>
  <si>
    <t xml:space="preserve">GameBalance.leader.walkSpeed</t>
  </si>
  <si>
    <t xml:space="preserve">달리기 삭제 후 유일한 이동 속도</t>
  </si>
  <si>
    <t xml:space="preserve">LDR_WALK_FACTOR_100</t>
  </si>
  <si>
    <r>
      <rPr>
        <sz val="10"/>
        <color rgb="FF000000"/>
        <rFont val="Arial"/>
        <family val="0"/>
        <charset val="1"/>
      </rPr>
      <t xml:space="preserve">100cm</t>
    </r>
    <r>
      <rPr>
        <sz val="10"/>
        <color rgb="FF000000"/>
        <rFont val="Noto Sans CJK SC"/>
        <family val="2"/>
      </rPr>
      <t xml:space="preserve">일 때 걷기 배율</t>
    </r>
  </si>
  <si>
    <t xml:space="preserve">×</t>
  </si>
  <si>
    <t xml:space="preserve">LeaderController.slowestWalkFactor</t>
  </si>
  <si>
    <t xml:space="preserve">GameBalance.leader.slowestWalkFactor</t>
  </si>
  <si>
    <r>
      <rPr>
        <sz val="10"/>
        <color rgb="FF000000"/>
        <rFont val="Arial"/>
        <family val="0"/>
        <charset val="1"/>
      </rPr>
      <t xml:space="preserve">100cm 1.82u/s. 10cm → 1</t>
    </r>
    <r>
      <rPr>
        <sz val="10"/>
        <color rgb="FF000000"/>
        <rFont val="Noto Sans CJK SC"/>
        <family val="2"/>
      </rPr>
      <t xml:space="preserve">에서 선형</t>
    </r>
  </si>
  <si>
    <t xml:space="preserve">LDR_ACCEL</t>
  </si>
  <si>
    <t xml:space="preserve">가속도</t>
  </si>
  <si>
    <t xml:space="preserve">u/s²</t>
  </si>
  <si>
    <t xml:space="preserve">LeaderController.acceleration</t>
  </si>
  <si>
    <t xml:space="preserve">GameBalance.leader.acceleration</t>
  </si>
  <si>
    <r>
      <rPr>
        <b val="true"/>
        <sz val="10"/>
        <color rgb="FF000000"/>
        <rFont val="Noto Sans CJK SC"/>
        <family val="2"/>
      </rPr>
      <t xml:space="preserve">선두 점프 </t>
    </r>
    <r>
      <rPr>
        <b val="true"/>
        <sz val="10"/>
        <color rgb="FF000000"/>
        <rFont val="Arial"/>
        <family val="0"/>
        <charset val="1"/>
      </rPr>
      <t xml:space="preserve">(v1.1 </t>
    </r>
    <r>
      <rPr>
        <b val="true"/>
        <sz val="10"/>
        <color rgb="FF000000"/>
        <rFont val="Noto Sans CJK SC"/>
        <family val="2"/>
      </rPr>
      <t xml:space="preserve">신규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</si>
  <si>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LDR_JUMP_HEIGHT</t>
  </si>
  <si>
    <r>
      <rPr>
        <sz val="10"/>
        <color rgb="FF000000"/>
        <rFont val="Noto Sans CJK SC"/>
        <family val="2"/>
      </rPr>
      <t xml:space="preserve">점프 높이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몸 중심 상승</t>
    </r>
    <r>
      <rPr>
        <sz val="10"/>
        <color rgb="FF000000"/>
        <rFont val="Arial"/>
        <family val="0"/>
        <charset val="1"/>
      </rPr>
      <t xml:space="preserve">)</t>
    </r>
  </si>
  <si>
    <t xml:space="preserve">LeaderController.jumpHeight</t>
  </si>
  <si>
    <t xml:space="preserve">GameBalance.leader.jumpHeight</t>
  </si>
  <si>
    <r>
      <rPr>
        <sz val="10"/>
        <color rgb="FF000000"/>
        <rFont val="Arial"/>
        <family val="0"/>
        <charset val="1"/>
      </rPr>
      <t xml:space="preserve">1.0u </t>
    </r>
    <r>
      <rPr>
        <sz val="10"/>
        <color rgb="FF000000"/>
        <rFont val="Noto Sans CJK SC"/>
        <family val="2"/>
      </rPr>
      <t xml:space="preserve">매대 한 단을 한 번에</t>
    </r>
    <r>
      <rPr>
        <sz val="10"/>
        <color rgb="FF000000"/>
        <rFont val="Arial"/>
        <family val="0"/>
        <charset val="1"/>
      </rPr>
      <t xml:space="preserve">. 2.0</t>
    </r>
    <r>
      <rPr>
        <sz val="10"/>
        <color rgb="FF000000"/>
        <rFont val="Noto Sans CJK SC"/>
        <family val="2"/>
      </rPr>
      <t xml:space="preserve">은 두 번</t>
    </r>
  </si>
  <si>
    <t xml:space="preserve">LDR_COYOTE</t>
  </si>
  <si>
    <t xml:space="preserve">코요테 타임</t>
  </si>
  <si>
    <t xml:space="preserve">초</t>
  </si>
  <si>
    <t xml:space="preserve">LeaderController.coyoteTime</t>
  </si>
  <si>
    <t xml:space="preserve">GameBalance.leader.coyoteTime</t>
  </si>
  <si>
    <t xml:space="preserve">발판을 떠난 직후에도 점프 인정</t>
  </si>
  <si>
    <t xml:space="preserve">LDR_JUMP_BUFFER</t>
  </si>
  <si>
    <t xml:space="preserve">점프 입력 버퍼</t>
  </si>
  <si>
    <t xml:space="preserve">LeaderController.jumpBuffer</t>
  </si>
  <si>
    <t xml:space="preserve">GameBalance.leader.jumpBuffer</t>
  </si>
  <si>
    <t xml:space="preserve">착지 직전 입력을 착지 순간 처리</t>
  </si>
  <si>
    <t xml:space="preserve">LDR_FALL_GRAVITY</t>
  </si>
  <si>
    <t xml:space="preserve">낙하 중력 배율</t>
  </si>
  <si>
    <t xml:space="preserve">LeaderController.fallGravityMultiplier</t>
  </si>
  <si>
    <t xml:space="preserve">GameBalance.leader.fallGravity</t>
  </si>
  <si>
    <t xml:space="preserve">둥실거리지 않게</t>
  </si>
  <si>
    <r>
      <rPr>
        <b val="true"/>
        <sz val="10"/>
        <color rgb="FF000000"/>
        <rFont val="Noto Sans CJK SC"/>
        <family val="2"/>
      </rPr>
      <t xml:space="preserve">선두 섭취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발밑 링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</si>
  <si>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LDR_EAT_RING</t>
  </si>
  <si>
    <t xml:space="preserve">발밑 링 반지름</t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</si>
  <si>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몸 크기</t>
    </r>
  </si>
  <si>
    <r>
      <rPr>
        <sz val="10"/>
        <color rgb="FF000000"/>
        <rFont val="Arial"/>
        <family val="0"/>
        <charset val="1"/>
      </rPr>
      <t xml:space="preserve">LeaderController.RingRadius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</si>
  <si>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GameBalance.leader.eatRing</t>
  </si>
  <si>
    <r>
      <rPr>
        <sz val="10"/>
        <color rgb="FF000000"/>
        <rFont val="Arial"/>
        <family val="0"/>
        <charset val="1"/>
      </rPr>
      <t xml:space="preserve">0.6 × 0.625 = 0.375u. v1.0 LDR_EAT_RANGE </t>
    </r>
    <r>
      <rPr>
        <sz val="10"/>
        <color rgb="FF000000"/>
        <rFont val="Noto Sans CJK SC"/>
        <family val="2"/>
      </rPr>
      <t xml:space="preserve">대체</t>
    </r>
  </si>
  <si>
    <t xml:space="preserve">LDR_EAT_MARGIN</t>
  </si>
  <si>
    <t xml:space="preserve">링 판정 여유</t>
  </si>
  <si>
    <t xml:space="preserve">LeaderController.eatRingMargin</t>
  </si>
  <si>
    <t xml:space="preserve">GameBalance.leader.eatMargin</t>
  </si>
  <si>
    <r>
      <rPr>
        <sz val="10"/>
        <color rgb="FF000000"/>
        <rFont val="Noto Sans CJK SC"/>
        <family val="2"/>
      </rPr>
      <t xml:space="preserve">판정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수평 거리 ≤ 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여유 </t>
    </r>
    <r>
      <rPr>
        <sz val="10"/>
        <color rgb="FF000000"/>
        <rFont val="Arial"/>
        <family val="0"/>
        <charset val="1"/>
      </rPr>
      <t xml:space="preserve">(0.525u)</t>
    </r>
  </si>
  <si>
    <t xml:space="preserve">LDR_EAT_HEIGHT</t>
  </si>
  <si>
    <t xml:space="preserve">섭취 높이 차 한도</t>
  </si>
  <si>
    <t xml:space="preserve">LeaderController.eatMaxHeightDiff</t>
  </si>
  <si>
    <t xml:space="preserve">GameBalance.leader.eatHeight</t>
  </si>
  <si>
    <t xml:space="preserve">매대 위 음식은 올라가서 먹는다</t>
  </si>
  <si>
    <r>
      <rPr>
        <b val="true"/>
        <sz val="10"/>
        <color rgb="FF000000"/>
        <rFont val="Noto Sans CJK SC"/>
        <family val="2"/>
      </rPr>
      <t xml:space="preserve">선두 충돌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상태</t>
    </r>
  </si>
  <si>
    <t xml:space="preserve">LDR_BOUNCE</t>
  </si>
  <si>
    <t xml:space="preserve">자기 몸 충돌 튕김</t>
  </si>
  <si>
    <t xml:space="preserve">몸길이</t>
  </si>
  <si>
    <t xml:space="preserve">LeaderController.bounceBodyLengths</t>
  </si>
  <si>
    <t xml:space="preserve">GameBalance.leader.bounce</t>
  </si>
  <si>
    <t xml:space="preserve">LDR_BOUNCE_CD</t>
  </si>
  <si>
    <t xml:space="preserve">튕김 재발동 간격</t>
  </si>
  <si>
    <r>
      <rPr>
        <sz val="10"/>
        <color rgb="FF000000"/>
        <rFont val="Arial"/>
        <family val="0"/>
        <charset val="1"/>
      </rPr>
      <t xml:space="preserve">LeaderController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</si>
  <si>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GameBalance.leader.bounceCooldown</t>
  </si>
  <si>
    <t xml:space="preserve">LDR_TRAP_RELEASE</t>
  </si>
  <si>
    <t xml:space="preserve">자기 몸 갇힘 해제</t>
  </si>
  <si>
    <t xml:space="preserve">LeaderController.trapReleaseTime</t>
  </si>
  <si>
    <t xml:space="preserve">GameBalance.leader.trapRelease</t>
  </si>
  <si>
    <t xml:space="preserve">LDR_STOMP_STUN</t>
  </si>
  <si>
    <t xml:space="preserve">직원 발에 밟혔을 때 기절</t>
  </si>
  <si>
    <t xml:space="preserve">LeaderController.stompStun</t>
  </si>
  <si>
    <t xml:space="preserve">GameBalance.leader.stompStun</t>
  </si>
  <si>
    <r>
      <rPr>
        <sz val="10"/>
        <color rgb="FF000000"/>
        <rFont val="Arial"/>
        <family val="0"/>
        <charset val="1"/>
      </rPr>
      <t xml:space="preserve">9/29 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실패 아님</t>
    </r>
  </si>
  <si>
    <t xml:space="preserve">LDR_STOMP_INVULN</t>
  </si>
  <si>
    <t xml:space="preserve">연속 밟힘 보호</t>
  </si>
  <si>
    <t xml:space="preserve">LeaderController.stompInvulnerable</t>
  </si>
  <si>
    <t xml:space="preserve">GameBalance.leader.stompInvulnerable</t>
  </si>
  <si>
    <t xml:space="preserve">LDR_STOMP_RECOVER_DELAY</t>
  </si>
  <si>
    <t xml:space="preserve">선두가 밟힌 뒤 회수 불가 추가 시간</t>
  </si>
  <si>
    <r>
      <rPr>
        <sz val="10"/>
        <color rgb="FF000000"/>
        <rFont val="Arial"/>
        <family val="0"/>
        <charset val="1"/>
      </rPr>
      <t xml:space="preserve">JellyChain.ScatterFrom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</si>
  <si>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GameBalance.chain.stompRecoverDelay</t>
  </si>
  <si>
    <r>
      <rPr>
        <sz val="10"/>
        <color rgb="FF000000"/>
        <rFont val="Noto Sans CJK SC"/>
        <family val="2"/>
      </rPr>
      <t xml:space="preserve">회수 가능 시각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기절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이 값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2.1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</si>
  <si>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t xml:space="preserve">LDR_FREEZE_SAFE</t>
  </si>
  <si>
    <t xml:space="preserve">빙결 후 다시 얼지 않는 시간</t>
  </si>
  <si>
    <r>
      <rPr>
        <sz val="10"/>
        <color rgb="FF000000"/>
        <rFont val="Arial"/>
        <family val="0"/>
        <charset val="1"/>
      </rPr>
      <t xml:space="preserve">LeaderController.TryFreeze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</si>
  <si>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GameBalance.leader.freezeSafe</t>
  </si>
  <si>
    <t xml:space="preserve">LDR_KNOCK_DECEL</t>
  </si>
  <si>
    <t xml:space="preserve">밀림 감속</t>
  </si>
  <si>
    <t xml:space="preserve">LeaderController.knockDecel</t>
  </si>
  <si>
    <t xml:space="preserve">GameBalance.leader.knockDecel</t>
  </si>
  <si>
    <r>
      <rPr>
        <sz val="10"/>
        <color rgb="FF000000"/>
        <rFont val="Noto Sans CJK SC"/>
        <family val="2"/>
      </rPr>
      <t xml:space="preserve">굴러다니는 물건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청소기 탈출</t>
    </r>
  </si>
  <si>
    <t xml:space="preserve">LDR_KNOCK_POP</t>
  </si>
  <si>
    <t xml:space="preserve">밀릴 때 튀어 오르는 속도</t>
  </si>
  <si>
    <t xml:space="preserve">GameBalance.leader.knockPop</t>
  </si>
  <si>
    <r>
      <rPr>
        <b val="true"/>
        <sz val="10"/>
        <color rgb="FF000000"/>
        <rFont val="Noto Sans CJK SC"/>
        <family val="2"/>
      </rPr>
      <t xml:space="preserve">청소기 붙잡힘과 탈출 </t>
    </r>
    <r>
      <rPr>
        <b val="true"/>
        <sz val="10"/>
        <color rgb="FF000000"/>
        <rFont val="Arial"/>
        <family val="0"/>
        <charset val="1"/>
      </rPr>
      <t xml:space="preserve">(v1.1 </t>
    </r>
    <r>
      <rPr>
        <b val="true"/>
        <sz val="10"/>
        <color rgb="FF000000"/>
        <rFont val="Noto Sans CJK SC"/>
        <family val="2"/>
      </rPr>
      <t xml:space="preserve">신규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</si>
  <si>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LDR_ESCAPE_HOLD</t>
  </si>
  <si>
    <t xml:space="preserve">이동 키 유지 → 탈출까지</t>
  </si>
  <si>
    <t xml:space="preserve">LeaderController.escapeHoldTime</t>
  </si>
  <si>
    <t xml:space="preserve">GameBalance.leader.escapeHold</t>
  </si>
  <si>
    <r>
      <rPr>
        <sz val="10"/>
        <color rgb="FF000000"/>
        <rFont val="Noto Sans CJK SC"/>
        <family val="2"/>
      </rPr>
      <t xml:space="preserve">연타 없음 </t>
    </r>
    <r>
      <rPr>
        <sz val="10"/>
        <color rgb="FF000000"/>
        <rFont val="Arial"/>
        <family val="0"/>
        <charset val="1"/>
      </rPr>
      <t xml:space="preserve">(9/29)</t>
    </r>
  </si>
  <si>
    <t xml:space="preserve">LDR_ESCAPE_DECAY</t>
  </si>
  <si>
    <t xml:space="preserve">손을 뗄 때 게이지 감소</t>
  </si>
  <si>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초</t>
    </r>
  </si>
  <si>
    <t xml:space="preserve">LeaderController.escapeDecay</t>
  </si>
  <si>
    <t xml:space="preserve">GameBalance.leader.escapeDecay</t>
  </si>
  <si>
    <t xml:space="preserve">LDR_ESCAPE_KNOCK</t>
  </si>
  <si>
    <t xml:space="preserve">탈출 시 튀어 나가는 속도</t>
  </si>
  <si>
    <r>
      <rPr>
        <sz val="10"/>
        <color rgb="FF000000"/>
        <rFont val="Arial"/>
        <family val="0"/>
        <charset val="1"/>
      </rPr>
      <t xml:space="preserve">LeaderController.EscapeVacuum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</si>
  <si>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GameBalance.leader.escapeKnock</t>
  </si>
  <si>
    <r>
      <rPr>
        <sz val="10"/>
        <color rgb="FF000000"/>
        <rFont val="Noto Sans CJK SC"/>
        <family val="2"/>
      </rPr>
      <t xml:space="preserve">누른 방향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청소기 뒤쪽 성분 제거</t>
    </r>
  </si>
  <si>
    <t xml:space="preserve">LDR_ESCAPE_IMMUNE</t>
  </si>
  <si>
    <t xml:space="preserve">탈출 후 다시 끌리지 않는 시간</t>
  </si>
  <si>
    <t xml:space="preserve">LeaderController.escapeImmunity</t>
  </si>
  <si>
    <t xml:space="preserve">GameBalance.leader.escapeImmunity</t>
  </si>
  <si>
    <t xml:space="preserve">길이와 연결</t>
  </si>
  <si>
    <t xml:space="preserve">CHN_LEADER_LEN</t>
  </si>
  <si>
    <t xml:space="preserve">연결</t>
  </si>
  <si>
    <t xml:space="preserve">선두 길이</t>
  </si>
  <si>
    <t xml:space="preserve">cm</t>
  </si>
  <si>
    <t xml:space="preserve">JellyChain.LeaderLength (const)</t>
  </si>
  <si>
    <t xml:space="preserve">GameBalance.chain.leaderLength</t>
  </si>
  <si>
    <t xml:space="preserve">CHN_FOOD_TOTAL</t>
  </si>
  <si>
    <t xml:space="preserve">본게임 음식 총량</t>
  </si>
  <si>
    <t xml:space="preserve">JellyChain.FoodTotal (const)</t>
  </si>
  <si>
    <t xml:space="preserve">GameBalance.chain.foodTotal</t>
  </si>
  <si>
    <r>
      <rPr>
        <sz val="10"/>
        <color rgb="FF000000"/>
        <rFont val="Noto Sans CJK SC"/>
        <family val="2"/>
      </rPr>
      <t xml:space="preserve">튜토리얼 음식 </t>
    </r>
    <r>
      <rPr>
        <sz val="10"/>
        <color rgb="FF000000"/>
        <rFont val="Arial"/>
        <family val="0"/>
        <charset val="1"/>
      </rPr>
      <t xml:space="preserve">16cm</t>
    </r>
    <r>
      <rPr>
        <sz val="10"/>
        <color rgb="FF000000"/>
        <rFont val="Noto Sans CJK SC"/>
        <family val="2"/>
      </rPr>
      <t xml:space="preserve">는 제외</t>
    </r>
  </si>
  <si>
    <t xml:space="preserve">CHN_GOAL</t>
  </si>
  <si>
    <t xml:space="preserve">최종 젤리 섭취 조건</t>
  </si>
  <si>
    <t xml:space="preserve">JellyChain.Goal (const)</t>
  </si>
  <si>
    <t xml:space="preserve">GameBalance.chain.goal</t>
  </si>
  <si>
    <t xml:space="preserve">CHN_MAX_UNITS</t>
  </si>
  <si>
    <t xml:space="preserve">최대 개체 수</t>
  </si>
  <si>
    <t xml:space="preserve">마리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</si>
  <si>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검사 없음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</si>
  <si>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GameBalance.chain.maxUnits</t>
  </si>
  <si>
    <r>
      <rPr>
        <sz val="10"/>
        <color rgb="FF000000"/>
        <rFont val="Noto Sans CJK SC"/>
        <family val="2"/>
      </rPr>
      <t xml:space="preserve">선두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일반 </t>
    </r>
    <r>
      <rPr>
        <sz val="10"/>
        <color rgb="FF000000"/>
        <rFont val="Arial"/>
        <family val="0"/>
        <charset val="1"/>
      </rPr>
      <t xml:space="preserve">30 + </t>
    </r>
    <r>
      <rPr>
        <sz val="10"/>
        <color rgb="FF000000"/>
        <rFont val="Noto Sans CJK SC"/>
        <family val="2"/>
      </rPr>
      <t xml:space="preserve">최종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성능 측정 기준</t>
    </r>
  </si>
  <si>
    <t xml:space="preserve">CHN_LOSS_PROTECT</t>
  </si>
  <si>
    <t xml:space="preserve">손실 보호 시간</t>
  </si>
  <si>
    <t xml:space="preserve">JellyChain.lossProtection</t>
  </si>
  <si>
    <t xml:space="preserve">GameBalance.chain.lossProtection</t>
  </si>
  <si>
    <t xml:space="preserve">CHN_RECOVER_PROTECT</t>
  </si>
  <si>
    <t xml:space="preserve">회수 직후 보호</t>
  </si>
  <si>
    <t xml:space="preserve">JellyChain.recoverProtection</t>
  </si>
  <si>
    <t xml:space="preserve">GameBalance.chain.recoverProtection</t>
  </si>
  <si>
    <t xml:space="preserve">CHN_FOLLOW_GAIN</t>
  </si>
  <si>
    <t xml:space="preserve">추종 강도</t>
  </si>
  <si>
    <t xml:space="preserve">JellyChain.followGain</t>
  </si>
  <si>
    <t xml:space="preserve">GameBalance.chain.followGain</t>
  </si>
  <si>
    <t xml:space="preserve">CHN_SPACING</t>
  </si>
  <si>
    <t xml:space="preserve">젤리 간격 계수</t>
  </si>
  <si>
    <t xml:space="preserve">JellyChain.spacingFactor</t>
  </si>
  <si>
    <t xml:space="preserve">GameBalance.chain.spacing</t>
  </si>
  <si>
    <r>
      <rPr>
        <sz val="10"/>
        <color rgb="FF000000"/>
        <rFont val="Noto Sans CJK SC"/>
        <family val="2"/>
      </rPr>
      <t xml:space="preserve">간격 </t>
    </r>
    <r>
      <rPr>
        <sz val="10"/>
        <color rgb="FF000000"/>
        <rFont val="Arial"/>
        <family val="0"/>
        <charset val="1"/>
      </rPr>
      <t xml:space="preserve">= (</t>
    </r>
    <r>
      <rPr>
        <sz val="10"/>
        <color rgb="FF000000"/>
        <rFont val="Noto Sans CJK SC"/>
        <family val="2"/>
      </rPr>
      <t xml:space="preserve">앞 반지름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뒤 반지름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수평 거리</t>
    </r>
  </si>
  <si>
    <t xml:space="preserve">CHN_FALLBACK</t>
  </si>
  <si>
    <t xml:space="preserve">경로 이탈 허용 거리</t>
  </si>
  <si>
    <t xml:space="preserve">JellyChain.fallbackDistance</t>
  </si>
  <si>
    <t xml:space="preserve">GameBalance.chain.fallbackDistance</t>
  </si>
  <si>
    <t xml:space="preserve">넘으면 바로 앞 젤리를 향한다</t>
  </si>
  <si>
    <t xml:space="preserve">CHN_CATCHUP</t>
  </si>
  <si>
    <t xml:space="preserve">추종 최고 속도</t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</si>
  <si>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걷기</t>
    </r>
  </si>
  <si>
    <r>
      <rPr>
        <sz val="10"/>
        <color rgb="FF000000"/>
        <rFont val="Arial"/>
        <family val="0"/>
        <charset val="1"/>
      </rPr>
      <t xml:space="preserve">LeaderController.CatchUpSpeed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</si>
  <si>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GameBalance.chain.catchUp</t>
  </si>
  <si>
    <r>
      <rPr>
        <sz val="10"/>
        <color rgb="FF000000"/>
        <rFont val="Arial"/>
        <family val="0"/>
        <charset val="1"/>
      </rPr>
      <t xml:space="preserve">v1.0 CHN_FOLLOW_MAX(× </t>
    </r>
    <r>
      <rPr>
        <sz val="10"/>
        <color rgb="FF000000"/>
        <rFont val="Noto Sans CJK SC"/>
        <family val="2"/>
      </rPr>
      <t xml:space="preserve">달리기 </t>
    </r>
    <r>
      <rPr>
        <sz val="10"/>
        <color rgb="FF000000"/>
        <rFont val="Arial"/>
        <family val="0"/>
        <charset val="1"/>
      </rPr>
      <t xml:space="preserve">1.7) </t>
    </r>
    <r>
      <rPr>
        <sz val="10"/>
        <color rgb="FF000000"/>
        <rFont val="Noto Sans CJK SC"/>
        <family val="2"/>
      </rPr>
      <t xml:space="preserve">대체</t>
    </r>
  </si>
  <si>
    <t xml:space="preserve">CHN_TRAIL_STEP</t>
  </si>
  <si>
    <r>
      <rPr>
        <sz val="10"/>
        <color rgb="FF000000"/>
        <rFont val="Noto Sans CJK SC"/>
        <family val="2"/>
      </rPr>
      <t xml:space="preserve">궤적 점 간격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</si>
  <si>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JellyChain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</si>
  <si>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GameBalance.chain.trailStep</t>
  </si>
  <si>
    <t xml:space="preserve">높이 포함 궤적</t>
  </si>
  <si>
    <t xml:space="preserve">CHN_HOP_THRESHOLD</t>
  </si>
  <si>
    <t xml:space="preserve">제자리 점프 판정 속도</t>
  </si>
  <si>
    <r>
      <rPr>
        <sz val="10"/>
        <color rgb="FF000000"/>
        <rFont val="Arial"/>
        <family val="0"/>
        <charset val="1"/>
      </rPr>
      <t xml:space="preserve">JellyChain.NotifyLeaderJump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</si>
  <si>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GameBalance.chain.hopThreshold</t>
  </si>
  <si>
    <t xml:space="preserve">선두 수평 속도가 이보다 느리면 동료는 모습만 폴짝</t>
  </si>
  <si>
    <t xml:space="preserve">CHN_HOP_HEIGHT</t>
  </si>
  <si>
    <t xml:space="preserve">제자리 점프 폴짝 높이</t>
  </si>
  <si>
    <t xml:space="preserve">EmoteTable.hopOnceHeight</t>
  </si>
  <si>
    <t xml:space="preserve">CHN_HOP_STEP</t>
  </si>
  <si>
    <t xml:space="preserve">폴짝 전파 간격</t>
  </si>
  <si>
    <t xml:space="preserve">EmoteTable.hopOnceStep</t>
  </si>
  <si>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번째 </t>
    </r>
    <r>
      <rPr>
        <sz val="10"/>
        <color rgb="FF000000"/>
        <rFont val="Arial"/>
        <family val="0"/>
        <charset val="1"/>
      </rPr>
      <t xml:space="preserve">= 0.06 + i × </t>
    </r>
    <r>
      <rPr>
        <sz val="10"/>
        <color rgb="FF000000"/>
        <rFont val="Noto Sans CJK SC"/>
        <family val="2"/>
      </rPr>
      <t xml:space="preserve">값</t>
    </r>
  </si>
  <si>
    <t xml:space="preserve">JLY_SIZE_BASE</t>
  </si>
  <si>
    <t xml:space="preserve">젤리 크기 기본값</t>
  </si>
  <si>
    <t xml:space="preserve">JellyUnit.SizeFor</t>
  </si>
  <si>
    <t xml:space="preserve">FoodTable.sizeBase</t>
  </si>
  <si>
    <r>
      <rPr>
        <sz val="10"/>
        <color rgb="FF000000"/>
        <rFont val="Noto Sans CJK SC"/>
        <family val="2"/>
      </rPr>
      <t xml:space="preserve">크기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기본 </t>
    </r>
    <r>
      <rPr>
        <sz val="10"/>
        <color rgb="FF000000"/>
        <rFont val="Arial"/>
        <family val="0"/>
        <charset val="1"/>
      </rPr>
      <t xml:space="preserve">+ cm</t>
    </r>
    <r>
      <rPr>
        <sz val="10"/>
        <color rgb="FF000000"/>
        <rFont val="Noto Sans CJK SC"/>
        <family val="2"/>
      </rPr>
      <t xml:space="preserve">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저장 길이 </t>
    </r>
    <r>
      <rPr>
        <sz val="10"/>
        <color rgb="FF000000"/>
        <rFont val="Arial"/>
        <family val="0"/>
        <charset val="1"/>
      </rPr>
      <t xml:space="preserve">(3cm 0.435, 8cm 0.56)</t>
    </r>
  </si>
  <si>
    <t xml:space="preserve">JLY_SIZE_PER_CM</t>
  </si>
  <si>
    <r>
      <rPr>
        <sz val="10"/>
        <color rgb="FF000000"/>
        <rFont val="Arial"/>
        <family val="0"/>
        <charset val="1"/>
      </rPr>
      <t xml:space="preserve">cm</t>
    </r>
    <r>
      <rPr>
        <sz val="10"/>
        <color rgb="FF000000"/>
        <rFont val="Noto Sans CJK SC"/>
        <family val="2"/>
      </rPr>
      <t xml:space="preserve">당 크기 증가</t>
    </r>
  </si>
  <si>
    <t xml:space="preserve">u/cm</t>
  </si>
  <si>
    <t xml:space="preserve">FoodTable.sizePerCm</t>
  </si>
  <si>
    <t xml:space="preserve">JLY_MASS</t>
  </si>
  <si>
    <t xml:space="preserve">젤리 질량</t>
  </si>
  <si>
    <t xml:space="preserve">JellyUnit.Init</t>
  </si>
  <si>
    <t xml:space="preserve">GameBalance.chain.jellyMass</t>
  </si>
  <si>
    <t xml:space="preserve">분리와 회수</t>
  </si>
  <si>
    <t xml:space="preserve">JLY_WANDER_R</t>
  </si>
  <si>
    <t xml:space="preserve">분리</t>
  </si>
  <si>
    <t xml:space="preserve">흩어진 젤리 이동 반경</t>
  </si>
  <si>
    <t xml:space="preserve">JellyUnit.wanderRadius</t>
  </si>
  <si>
    <t xml:space="preserve">GameBalance.detached.wanderRadius</t>
  </si>
  <si>
    <r>
      <rPr>
        <sz val="10"/>
        <color rgb="FF000000"/>
        <rFont val="Noto Sans CJK SC"/>
        <family val="2"/>
      </rPr>
      <t xml:space="preserve">기획서 </t>
    </r>
    <r>
      <rPr>
        <sz val="10"/>
        <color rgb="FF000000"/>
        <rFont val="Arial"/>
        <family val="0"/>
        <charset val="1"/>
      </rPr>
      <t xml:space="preserve">1~2</t>
    </r>
    <r>
      <rPr>
        <sz val="10"/>
        <color rgb="FF000000"/>
        <rFont val="Noto Sans CJK SC"/>
        <family val="2"/>
      </rPr>
      <t xml:space="preserve">타일</t>
    </r>
  </si>
  <si>
    <t xml:space="preserve">JLY_WANDER_SPEED</t>
  </si>
  <si>
    <t xml:space="preserve">흩어진 젤리 이동 속도</t>
  </si>
  <si>
    <t xml:space="preserve">JellyUnit.wanderSpeed</t>
  </si>
  <si>
    <t xml:space="preserve">GameBalance.detached.wanderSpeed</t>
  </si>
  <si>
    <t xml:space="preserve">JLY_STOP_NEAR</t>
  </si>
  <si>
    <t xml:space="preserve">선두 접근 시 멈춤 거리</t>
  </si>
  <si>
    <t xml:space="preserve">JellyUnit.stopNearLeaderDistance</t>
  </si>
  <si>
    <t xml:space="preserve">GameBalance.detached.stopNearLeader</t>
  </si>
  <si>
    <t xml:space="preserve">CHN_REVERT</t>
  </si>
  <si>
    <t xml:space="preserve">떨어진 동료 → 음식 복귀</t>
  </si>
  <si>
    <t xml:space="preserve">JellyChain.revertAfter</t>
  </si>
  <si>
    <t xml:space="preserve">GameBalance.detached.revertAfter</t>
  </si>
  <si>
    <r>
      <rPr>
        <sz val="10"/>
        <color rgb="FF000000"/>
        <rFont val="Arial"/>
        <family val="0"/>
        <charset val="1"/>
      </rPr>
      <t xml:space="preserve">9/29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끌려가는 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납작한 동안은 대기</t>
    </r>
  </si>
  <si>
    <t xml:space="preserve">CHN_REVERT_BLINK</t>
  </si>
  <si>
    <t xml:space="preserve">복귀 전 빠른 깜빡임</t>
  </si>
  <si>
    <r>
      <rPr>
        <sz val="10"/>
        <color rgb="FF000000"/>
        <rFont val="Arial"/>
        <family val="0"/>
        <charset val="1"/>
      </rPr>
      <t xml:space="preserve">JellyUnit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</si>
  <si>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GameBalance.detached.revertBlink</t>
  </si>
  <si>
    <t xml:space="preserve">CHN_REVERT_R_MAX</t>
  </si>
  <si>
    <t xml:space="preserve">복귀 음식 흩어지는 최대 거리</t>
  </si>
  <si>
    <r>
      <rPr>
        <sz val="10"/>
        <color rgb="FF000000"/>
        <rFont val="Arial"/>
        <family val="0"/>
        <charset val="1"/>
      </rPr>
      <t xml:space="preserve">JellyChain.ScatterSpot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</si>
  <si>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GameBalance.detached.revertRadius</t>
  </si>
  <si>
    <r>
      <rPr>
        <sz val="10"/>
        <color rgb="FF000000"/>
        <rFont val="Arial"/>
        <family val="0"/>
        <charset val="1"/>
      </rPr>
      <t xml:space="preserve">0.4~1.2u, </t>
    </r>
    <r>
      <rPr>
        <sz val="10"/>
        <color rgb="FF000000"/>
        <rFont val="Noto Sans CJK SC"/>
        <family val="2"/>
      </rPr>
      <t xml:space="preserve">다른 음식과 </t>
    </r>
    <r>
      <rPr>
        <sz val="10"/>
        <color rgb="FF000000"/>
        <rFont val="Arial"/>
        <family val="0"/>
        <charset val="1"/>
      </rPr>
      <t xml:space="preserve">0.7u </t>
    </r>
    <r>
      <rPr>
        <sz val="10"/>
        <color rgb="FF000000"/>
        <rFont val="Noto Sans CJK SC"/>
        <family val="2"/>
      </rPr>
      <t xml:space="preserve">이상</t>
    </r>
  </si>
  <si>
    <r>
      <rPr>
        <b val="true"/>
        <sz val="10"/>
        <color rgb="FF000000"/>
        <rFont val="Noto Sans CJK SC"/>
        <family val="2"/>
      </rPr>
      <t xml:space="preserve">직원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</si>
  <si>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STF_MOVE_SPEED</t>
  </si>
  <si>
    <t xml:space="preserve">직원</t>
  </si>
  <si>
    <t xml:space="preserve">순찰 이동 속도</t>
  </si>
  <si>
    <t xml:space="preserve">StaffFoot.moveSpeed</t>
  </si>
  <si>
    <t xml:space="preserve">StaffProfile.moveSpeed</t>
  </si>
  <si>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: Z3 A 1.7 · B 1.9, Z4 1.6, Z5 1.8</t>
    </r>
  </si>
  <si>
    <t xml:space="preserve">STF_STEP_DIST</t>
  </si>
  <si>
    <t xml:space="preserve">발 내딛는 간격</t>
  </si>
  <si>
    <t xml:space="preserve">StaffFoot.stepDistance</t>
  </si>
  <si>
    <t xml:space="preserve">StaffProfile.stepDistance</t>
  </si>
  <si>
    <t xml:space="preserve">STF_WARN</t>
  </si>
  <si>
    <r>
      <rPr>
        <sz val="10"/>
        <color rgb="FF000000"/>
        <rFont val="Noto Sans CJK SC"/>
        <family val="2"/>
      </rPr>
      <t xml:space="preserve">착지 예고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그림자</t>
    </r>
    <r>
      <rPr>
        <sz val="10"/>
        <color rgb="FF000000"/>
        <rFont val="Arial"/>
        <family val="0"/>
        <charset val="1"/>
      </rPr>
      <t xml:space="preserve">)</t>
    </r>
  </si>
  <si>
    <t xml:space="preserve">StaffFoot.warnTime</t>
  </si>
  <si>
    <t xml:space="preserve">StaffProfile.stompWarn</t>
  </si>
  <si>
    <t xml:space="preserve">STF_DROP</t>
  </si>
  <si>
    <t xml:space="preserve">발 내려오는 시간</t>
  </si>
  <si>
    <t xml:space="preserve">StaffFoot.dropTime</t>
  </si>
  <si>
    <t xml:space="preserve">StaffProfile.dropTime</t>
  </si>
  <si>
    <t xml:space="preserve">STF_PLANTED</t>
  </si>
  <si>
    <t xml:space="preserve">발 딛고 있는 시간</t>
  </si>
  <si>
    <t xml:space="preserve">StaffFoot.plantedTime</t>
  </si>
  <si>
    <t xml:space="preserve">StaffProfile.plantedTime</t>
  </si>
  <si>
    <t xml:space="preserve">STF_LIFT</t>
  </si>
  <si>
    <t xml:space="preserve">발 드는 시간</t>
  </si>
  <si>
    <t xml:space="preserve">StaffFoot.liftTime</t>
  </si>
  <si>
    <t xml:space="preserve">StaffProfile.liftTime</t>
  </si>
  <si>
    <t xml:space="preserve">STF_FOOT_L</t>
  </si>
  <si>
    <r>
      <rPr>
        <sz val="10"/>
        <color rgb="FF000000"/>
        <rFont val="Noto Sans CJK SC"/>
        <family val="2"/>
      </rPr>
      <t xml:space="preserve">발 길이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진행 방향</t>
    </r>
    <r>
      <rPr>
        <sz val="10"/>
        <color rgb="FF000000"/>
        <rFont val="Arial"/>
        <family val="0"/>
        <charset val="1"/>
      </rPr>
      <t xml:space="preserve">)</t>
    </r>
  </si>
  <si>
    <t xml:space="preserve">StaffFoot.footHalfExtents.z × 2</t>
  </si>
  <si>
    <t xml:space="preserve">StaffProfile.footSize</t>
  </si>
  <si>
    <t xml:space="preserve">STF_FOOT_W</t>
  </si>
  <si>
    <t xml:space="preserve">발 폭</t>
  </si>
  <si>
    <t xml:space="preserve">StaffFoot.footHalfExtents.x × 2</t>
  </si>
  <si>
    <t xml:space="preserve">청소기</t>
  </si>
  <si>
    <t xml:space="preserve">VAC_SPEED</t>
  </si>
  <si>
    <t xml:space="preserve">이동 속도</t>
  </si>
  <si>
    <r>
      <rPr>
        <sz val="10"/>
        <color rgb="FF000000"/>
        <rFont val="Arial"/>
        <family val="0"/>
        <charset val="1"/>
      </rPr>
      <t xml:space="preserve">VacuumCleaner.speed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</si>
  <si>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VacuumProfile.speed</t>
  </si>
  <si>
    <r>
      <rPr>
        <sz val="10"/>
        <color rgb="FF000000"/>
        <rFont val="Noto Sans CJK SC"/>
        <family val="2"/>
      </rPr>
      <t xml:space="preserve">코드 기본 </t>
    </r>
    <r>
      <rPr>
        <sz val="10"/>
        <color rgb="FF000000"/>
        <rFont val="Arial"/>
        <family val="0"/>
        <charset val="1"/>
      </rPr>
      <t xml:space="preserve">1.2, </t>
    </r>
    <r>
      <rPr>
        <sz val="10"/>
        <color rgb="FF000000"/>
        <rFont val="Noto Sans CJK SC"/>
        <family val="2"/>
      </rPr>
      <t xml:space="preserve">레벨 빌더 </t>
    </r>
    <r>
      <rPr>
        <sz val="10"/>
        <color rgb="FF000000"/>
        <rFont val="Arial"/>
        <family val="0"/>
        <charset val="1"/>
      </rPr>
      <t xml:space="preserve">1.1</t>
    </r>
  </si>
  <si>
    <t xml:space="preserve">VAC_PAUSE</t>
  </si>
  <si>
    <t xml:space="preserve">끝점 정지</t>
  </si>
  <si>
    <r>
      <rPr>
        <sz val="10"/>
        <color rgb="FF000000"/>
        <rFont val="Arial"/>
        <family val="0"/>
        <charset val="1"/>
      </rPr>
      <t xml:space="preserve">VacuumCleaner.pauseAtEnds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</si>
  <si>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VacuumProfile.pauseAtEnds</t>
  </si>
  <si>
    <r>
      <rPr>
        <sz val="10"/>
        <color rgb="FF000000"/>
        <rFont val="Noto Sans CJK SC"/>
        <family val="2"/>
      </rPr>
      <t xml:space="preserve">코드 기본 </t>
    </r>
    <r>
      <rPr>
        <sz val="10"/>
        <color rgb="FF000000"/>
        <rFont val="Arial"/>
        <family val="0"/>
        <charset val="1"/>
      </rPr>
      <t xml:space="preserve">1.5, </t>
    </r>
    <r>
      <rPr>
        <sz val="10"/>
        <color rgb="FF000000"/>
        <rFont val="Noto Sans CJK SC"/>
        <family val="2"/>
      </rPr>
      <t xml:space="preserve">레벨 빌더 </t>
    </r>
    <r>
      <rPr>
        <sz val="10"/>
        <color rgb="FF000000"/>
        <rFont val="Arial"/>
        <family val="0"/>
        <charset val="1"/>
      </rPr>
      <t xml:space="preserve">1.2</t>
    </r>
  </si>
  <si>
    <t xml:space="preserve">VAC_TURN</t>
  </si>
  <si>
    <r>
      <rPr>
        <sz val="10"/>
        <color rgb="FF000000"/>
        <rFont val="Noto Sans CJK SC"/>
        <family val="2"/>
      </rPr>
      <t xml:space="preserve">회전 시간 </t>
    </r>
    <r>
      <rPr>
        <sz val="10"/>
        <color rgb="FF000000"/>
        <rFont val="Arial"/>
        <family val="0"/>
        <charset val="1"/>
      </rPr>
      <t xml:space="preserve">(180°)</t>
    </r>
  </si>
  <si>
    <t xml:space="preserve">VacuumCleaner.turnTime</t>
  </si>
  <si>
    <t xml:space="preserve">VacuumProfile.turnTime</t>
  </si>
  <si>
    <t xml:space="preserve">VAC_ZONE_W</t>
  </si>
  <si>
    <r>
      <rPr>
        <sz val="10"/>
        <color rgb="FF000000"/>
        <rFont val="Noto Sans CJK SC"/>
        <family val="2"/>
      </rPr>
      <t xml:space="preserve">흡입 영역 폭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</si>
  <si>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VacuumCleaner.zoneSize.x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</si>
  <si>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VacuumProfile.zoneSize</t>
  </si>
  <si>
    <r>
      <rPr>
        <sz val="10"/>
        <color rgb="FF000000"/>
        <rFont val="Arial"/>
        <family val="0"/>
        <charset val="1"/>
      </rPr>
      <t xml:space="preserve">9/29 </t>
    </r>
    <r>
      <rPr>
        <sz val="10"/>
        <color rgb="FF000000"/>
        <rFont val="Noto Sans CJK SC"/>
        <family val="2"/>
      </rPr>
      <t xml:space="preserve">축소</t>
    </r>
  </si>
  <si>
    <t xml:space="preserve">VAC_ZONE_L</t>
  </si>
  <si>
    <r>
      <rPr>
        <sz val="10"/>
        <color rgb="FF000000"/>
        <rFont val="Noto Sans CJK SC"/>
        <family val="2"/>
      </rPr>
      <t xml:space="preserve">흡입 영역 길이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</si>
  <si>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VacuumCleaner.zoneSize.z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</si>
  <si>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VAC_ZONE_W_SMALL</t>
  </si>
  <si>
    <r>
      <rPr>
        <sz val="10"/>
        <color rgb="FF000000"/>
        <rFont val="Noto Sans CJK SC"/>
        <family val="2"/>
      </rPr>
      <t xml:space="preserve">흡입 영역 폭 </t>
    </r>
    <r>
      <rPr>
        <sz val="10"/>
        <color rgb="FF000000"/>
        <rFont val="Arial"/>
        <family val="0"/>
        <charset val="1"/>
      </rPr>
      <t xml:space="preserve">(Z4 </t>
    </r>
    <r>
      <rPr>
        <sz val="10"/>
        <color rgb="FF000000"/>
        <rFont val="Noto Sans CJK SC"/>
        <family val="2"/>
      </rPr>
      <t xml:space="preserve">문 앞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</si>
  <si>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HZ-Z4-VAC-2 </t>
    </r>
    <r>
      <rPr>
        <sz val="10"/>
        <color rgb="FF000000"/>
        <rFont val="Noto Sans CJK SC"/>
        <family val="2"/>
      </rPr>
      <t xml:space="preserve">씬 값</t>
    </r>
  </si>
  <si>
    <r>
      <rPr>
        <sz val="10"/>
        <color rgb="FF000000"/>
        <rFont val="Arial"/>
        <family val="0"/>
        <charset val="1"/>
      </rPr>
      <t xml:space="preserve">VacuumProfile(</t>
    </r>
    <r>
      <rPr>
        <sz val="10"/>
        <color rgb="FF000000"/>
        <rFont val="Noto Sans CJK SC"/>
        <family val="2"/>
      </rPr>
      <t xml:space="preserve">작은</t>
    </r>
    <r>
      <rPr>
        <sz val="10"/>
        <color rgb="FF000000"/>
        <rFont val="Arial"/>
        <family val="0"/>
        <charset val="1"/>
      </rPr>
      <t xml:space="preserve">).zoneSize</t>
    </r>
  </si>
  <si>
    <t xml:space="preserve">카운터로 넘어가는 문 앞</t>
  </si>
  <si>
    <t xml:space="preserve">VAC_ZONE_L_SMALL</t>
  </si>
  <si>
    <r>
      <rPr>
        <sz val="10"/>
        <color rgb="FF000000"/>
        <rFont val="Noto Sans CJK SC"/>
        <family val="2"/>
      </rPr>
      <t xml:space="preserve">흡입 영역 길이 </t>
    </r>
    <r>
      <rPr>
        <sz val="10"/>
        <color rgb="FF000000"/>
        <rFont val="Arial"/>
        <family val="0"/>
        <charset val="1"/>
      </rPr>
      <t xml:space="preserve">(Z4 </t>
    </r>
    <r>
      <rPr>
        <sz val="10"/>
        <color rgb="FF000000"/>
        <rFont val="Noto Sans CJK SC"/>
        <family val="2"/>
      </rPr>
      <t xml:space="preserve">문 앞</t>
    </r>
    <r>
      <rPr>
        <sz val="10"/>
        <color rgb="FF000000"/>
        <rFont val="Arial"/>
        <family val="0"/>
        <charset val="1"/>
      </rPr>
      <t xml:space="preserve">)</t>
    </r>
  </si>
  <si>
    <t xml:space="preserve">VAC_ZONE_GAP</t>
  </si>
  <si>
    <r>
      <rPr>
        <sz val="10"/>
        <color rgb="FF000000"/>
        <rFont val="Noto Sans CJK SC"/>
        <family val="2"/>
      </rPr>
      <t xml:space="preserve">청소기 앞 </t>
    </r>
    <r>
      <rPr>
        <sz val="10"/>
        <color rgb="FF000000"/>
        <rFont val="Arial"/>
        <family val="0"/>
        <charset val="1"/>
      </rPr>
      <t xml:space="preserve">~ </t>
    </r>
    <r>
      <rPr>
        <sz val="10"/>
        <color rgb="FF000000"/>
        <rFont val="Noto Sans CJK SC"/>
        <family val="2"/>
      </rPr>
      <t xml:space="preserve">흡입 영역 시작</t>
    </r>
  </si>
  <si>
    <t xml:space="preserve">LevelBuilder.Vacuum</t>
  </si>
  <si>
    <t xml:space="preserve">VacuumProfile.zoneGap</t>
  </si>
  <si>
    <r>
      <rPr>
        <sz val="10"/>
        <color rgb="FF000000"/>
        <rFont val="Noto Sans CJK SC"/>
        <family val="2"/>
      </rPr>
      <t xml:space="preserve">영역 중심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이 값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길이</t>
    </r>
    <r>
      <rPr>
        <sz val="10"/>
        <color rgb="FF000000"/>
        <rFont val="Arial"/>
        <family val="0"/>
        <charset val="1"/>
      </rPr>
      <t xml:space="preserve">/2 (v1.0 VAC_ZONE_OFFSET </t>
    </r>
    <r>
      <rPr>
        <sz val="10"/>
        <color rgb="FF000000"/>
        <rFont val="Noto Sans CJK SC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</si>
  <si>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t xml:space="preserve">VAC_MOUTH_R</t>
  </si>
  <si>
    <t xml:space="preserve">흡입구 반경</t>
  </si>
  <si>
    <t xml:space="preserve">VacuumCleaner.mouthRadius</t>
  </si>
  <si>
    <t xml:space="preserve">VacuumProfile.mouthRadius</t>
  </si>
  <si>
    <t xml:space="preserve">VAC_PULL</t>
  </si>
  <si>
    <t xml:space="preserve">분리 젤리 끌림 속도</t>
  </si>
  <si>
    <t xml:space="preserve">VacuumCleaner.pullSpeed</t>
  </si>
  <si>
    <t xml:space="preserve">VacuumProfile.pullSpeed</t>
  </si>
  <si>
    <t xml:space="preserve">VAC_LEADER_PULL</t>
  </si>
  <si>
    <r>
      <rPr>
        <sz val="10"/>
        <color rgb="FF000000"/>
        <rFont val="Noto Sans CJK SC"/>
        <family val="2"/>
      </rPr>
      <t xml:space="preserve">선두 끌림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시작</t>
    </r>
    <r>
      <rPr>
        <sz val="10"/>
        <color rgb="FF000000"/>
        <rFont val="Arial"/>
        <family val="0"/>
        <charset val="1"/>
      </rPr>
      <t xml:space="preserve">)</t>
    </r>
  </si>
  <si>
    <t xml:space="preserve">VacuumCleaner.leaderPull</t>
  </si>
  <si>
    <t xml:space="preserve">VacuumProfile.leaderPull</t>
  </si>
  <si>
    <t xml:space="preserve">VAC_LEADER_PULL_MAX</t>
  </si>
  <si>
    <r>
      <rPr>
        <sz val="10"/>
        <color rgb="FF000000"/>
        <rFont val="Noto Sans CJK SC"/>
        <family val="2"/>
      </rPr>
      <t xml:space="preserve">선두 끌림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최대</t>
    </r>
    <r>
      <rPr>
        <sz val="10"/>
        <color rgb="FF000000"/>
        <rFont val="Arial"/>
        <family val="0"/>
        <charset val="1"/>
      </rPr>
      <t xml:space="preserve">)</t>
    </r>
  </si>
  <si>
    <t xml:space="preserve">VacuumCleaner.leaderPullMax</t>
  </si>
  <si>
    <t xml:space="preserve">VacuumProfile.leaderPullMax</t>
  </si>
  <si>
    <r>
      <rPr>
        <sz val="10"/>
        <color rgb="FF000000"/>
        <rFont val="Arial"/>
        <family val="0"/>
        <charset val="1"/>
      </rPr>
      <t xml:space="preserve">100cm </t>
    </r>
    <r>
      <rPr>
        <sz val="10"/>
        <color rgb="FF000000"/>
        <rFont val="Noto Sans CJK SC"/>
        <family val="2"/>
      </rPr>
      <t xml:space="preserve">걷기 </t>
    </r>
    <r>
      <rPr>
        <sz val="10"/>
        <color rgb="FF000000"/>
        <rFont val="Arial"/>
        <family val="0"/>
        <charset val="1"/>
      </rPr>
      <t xml:space="preserve">1.82</t>
    </r>
    <r>
      <rPr>
        <sz val="10"/>
        <color rgb="FF000000"/>
        <rFont val="Noto Sans CJK SC"/>
        <family val="2"/>
      </rPr>
      <t xml:space="preserve">보다 강함 → 점프로 벗어난다</t>
    </r>
  </si>
  <si>
    <t xml:space="preserve">VAC_PULL_RAMP</t>
  </si>
  <si>
    <t xml:space="preserve">끌림이 최대까지 오르는 시간</t>
  </si>
  <si>
    <t xml:space="preserve">VacuumCleaner.leaderPullRamp</t>
  </si>
  <si>
    <t xml:space="preserve">VacuumProfile.leaderPullRamp</t>
  </si>
  <si>
    <t xml:space="preserve">VAC_ABSORB</t>
  </si>
  <si>
    <r>
      <rPr>
        <sz val="10"/>
        <color rgb="FF000000"/>
        <rFont val="Noto Sans CJK SC"/>
        <family val="2"/>
      </rPr>
      <t xml:space="preserve">완전 흡입까지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분리 젤리</t>
    </r>
    <r>
      <rPr>
        <sz val="10"/>
        <color rgb="FF000000"/>
        <rFont val="Arial"/>
        <family val="0"/>
        <charset val="1"/>
      </rPr>
      <t xml:space="preserve">)</t>
    </r>
  </si>
  <si>
    <t xml:space="preserve">VacuumCleaner.absorbTime</t>
  </si>
  <si>
    <t xml:space="preserve">VacuumProfile.absorbTime</t>
  </si>
  <si>
    <r>
      <rPr>
        <sz val="10"/>
        <color rgb="FF000000"/>
        <rFont val="Noto Sans CJK SC"/>
        <family val="2"/>
      </rPr>
      <t xml:space="preserve">영역 체류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초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흡입구 도착</t>
    </r>
  </si>
  <si>
    <t xml:space="preserve">세일 매대 붕괴</t>
  </si>
  <si>
    <t xml:space="preserve">FST_WARN</t>
  </si>
  <si>
    <t xml:space="preserve">붕괴</t>
  </si>
  <si>
    <r>
      <rPr>
        <sz val="10"/>
        <color rgb="FF000000"/>
        <rFont val="Noto Sans CJK SC"/>
        <family val="2"/>
      </rPr>
      <t xml:space="preserve">붕괴 예고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떨림</t>
    </r>
    <r>
      <rPr>
        <sz val="10"/>
        <color rgb="FF000000"/>
        <rFont val="Arial"/>
        <family val="0"/>
        <charset val="1"/>
      </rPr>
      <t xml:space="preserve">)</t>
    </r>
  </si>
  <si>
    <t xml:space="preserve">FallingStack.warnTime</t>
  </si>
  <si>
    <t xml:space="preserve">CollapseProfile.warnTime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</si>
  <si>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긴장감을 위해 단축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끝으로 갈수록 세게 떤다</t>
    </r>
  </si>
  <si>
    <t xml:space="preserve">FST_PUSH</t>
  </si>
  <si>
    <t xml:space="preserve">상품 밀림 속도</t>
  </si>
  <si>
    <r>
      <rPr>
        <sz val="10"/>
        <color rgb="FF000000"/>
        <rFont val="Arial"/>
        <family val="0"/>
        <charset val="1"/>
      </rPr>
      <t xml:space="preserve">FallingStack.pushSpeed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</si>
  <si>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CollapseProfile.pushSpeed</t>
  </si>
  <si>
    <t xml:space="preserve">FST_LIVE</t>
  </si>
  <si>
    <t xml:space="preserve">피해가 유효한 시간</t>
  </si>
  <si>
    <t xml:space="preserve">FallingStack.liveTime</t>
  </si>
  <si>
    <t xml:space="preserve">CollapseProfile.liveTime</t>
  </si>
  <si>
    <t xml:space="preserve">이후 상품은 장애물</t>
  </si>
  <si>
    <t xml:space="preserve">FST_MIN_IMPACT</t>
  </si>
  <si>
    <r>
      <rPr>
        <sz val="10"/>
        <color rgb="FF000000"/>
        <rFont val="Noto Sans CJK SC"/>
        <family val="2"/>
      </rPr>
      <t xml:space="preserve">피해 최소 충격 속도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아래 방향</t>
    </r>
    <r>
      <rPr>
        <sz val="10"/>
        <color rgb="FF000000"/>
        <rFont val="Arial"/>
        <family val="0"/>
        <charset val="1"/>
      </rPr>
      <t xml:space="preserve">)</t>
    </r>
  </si>
  <si>
    <t xml:space="preserve">FallingItem.minImpactSpeed</t>
  </si>
  <si>
    <t xml:space="preserve">CollapseProfile.minImpactSpeed</t>
  </si>
  <si>
    <t xml:space="preserve">위에서 떨어진 충격만</t>
  </si>
  <si>
    <t xml:space="preserve">FST_ZONE_MARGIN</t>
  </si>
  <si>
    <r>
      <rPr>
        <sz val="10"/>
        <color rgb="FF000000"/>
        <rFont val="Noto Sans CJK SC"/>
        <family val="2"/>
      </rPr>
      <t xml:space="preserve">발동 구역 여유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낙하 지점 둘레</t>
    </r>
    <r>
      <rPr>
        <sz val="10"/>
        <color rgb="FF000000"/>
        <rFont val="Arial"/>
        <family val="0"/>
        <charset val="1"/>
      </rPr>
      <t xml:space="preserve">)</t>
    </r>
  </si>
  <si>
    <t xml:space="preserve">LevelBuilder.SaleStack</t>
  </si>
  <si>
    <t xml:space="preserve">CollapseProfile.zoneMargin</t>
  </si>
  <si>
    <r>
      <rPr>
        <sz val="10"/>
        <color rgb="FF000000"/>
        <rFont val="Arial"/>
        <family val="0"/>
        <charset val="1"/>
      </rPr>
      <t xml:space="preserve">v1.0 FST_ZONE_L </t>
    </r>
    <r>
      <rPr>
        <sz val="10"/>
        <color rgb="FF000000"/>
        <rFont val="Noto Sans CJK SC"/>
        <family val="2"/>
      </rPr>
      <t xml:space="preserve">대체</t>
    </r>
  </si>
  <si>
    <t xml:space="preserve">FST_RESET</t>
  </si>
  <si>
    <t xml:space="preserve">원위치 복구</t>
  </si>
  <si>
    <t xml:space="preserve">FallingStack.resetAfter</t>
  </si>
  <si>
    <t xml:space="preserve">CollapseProfile.resetAfter</t>
  </si>
  <si>
    <t xml:space="preserve">저장이 없으므로 반복 작동을 정식 규칙으로</t>
  </si>
  <si>
    <t xml:space="preserve">FST_REARM</t>
  </si>
  <si>
    <t xml:space="preserve">재작동 대기</t>
  </si>
  <si>
    <t xml:space="preserve">FallingStack.rearmCooldown</t>
  </si>
  <si>
    <t xml:space="preserve">CollapseProfile.rearmCooldown</t>
  </si>
  <si>
    <r>
      <rPr>
        <b val="true"/>
        <sz val="10"/>
        <color rgb="FF000000"/>
        <rFont val="Noto Sans CJK SC"/>
        <family val="2"/>
      </rPr>
      <t xml:space="preserve">굴러다니는 물건 </t>
    </r>
    <r>
      <rPr>
        <b val="true"/>
        <sz val="10"/>
        <color rgb="FF000000"/>
        <rFont val="Arial"/>
        <family val="0"/>
        <charset val="1"/>
      </rPr>
      <t xml:space="preserve">(v1.1 </t>
    </r>
    <r>
      <rPr>
        <b val="true"/>
        <sz val="10"/>
        <color rgb="FF000000"/>
        <rFont val="Noto Sans CJK SC"/>
        <family val="2"/>
      </rPr>
      <t xml:space="preserve">신규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</si>
  <si>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ROL_RADIUS</t>
  </si>
  <si>
    <t xml:space="preserve">굴러다님</t>
  </si>
  <si>
    <t xml:space="preserve">물건 반지름</t>
  </si>
  <si>
    <t xml:space="preserve">RollerSpawner.radius</t>
  </si>
  <si>
    <t xml:space="preserve">RollerProfile.radius</t>
  </si>
  <si>
    <t xml:space="preserve">ROL_SPEED_Z1</t>
  </si>
  <si>
    <r>
      <rPr>
        <sz val="10"/>
        <color rgb="FF000000"/>
        <rFont val="Noto Sans CJK SC"/>
        <family val="2"/>
      </rPr>
      <t xml:space="preserve">구르는 속도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과일 코너</t>
    </r>
  </si>
  <si>
    <r>
      <rPr>
        <sz val="10"/>
        <color rgb="FF000000"/>
        <rFont val="Arial"/>
        <family val="0"/>
        <charset val="1"/>
      </rPr>
      <t xml:space="preserve">RollerSpawner.speed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</si>
  <si>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RollerProfile.speed</t>
  </si>
  <si>
    <t xml:space="preserve">ROL_SPEED_Z3</t>
  </si>
  <si>
    <r>
      <rPr>
        <sz val="10"/>
        <color rgb="FF000000"/>
        <rFont val="Noto Sans CJK SC"/>
        <family val="2"/>
      </rPr>
      <t xml:space="preserve">구르는 속도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음료 코너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캔</t>
    </r>
    <r>
      <rPr>
        <sz val="10"/>
        <color rgb="FF000000"/>
        <rFont val="Arial"/>
        <family val="0"/>
        <charset val="1"/>
      </rPr>
      <t xml:space="preserve">)</t>
    </r>
  </si>
  <si>
    <t xml:space="preserve">ROL_SPEED_Z5</t>
  </si>
  <si>
    <r>
      <rPr>
        <sz val="10"/>
        <color rgb="FF000000"/>
        <rFont val="Noto Sans CJK SC"/>
        <family val="2"/>
      </rPr>
      <t xml:space="preserve">구르는 속도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카운터</t>
    </r>
  </si>
  <si>
    <t xml:space="preserve">ROL_COUNT_Z1</t>
  </si>
  <si>
    <r>
      <rPr>
        <sz val="10"/>
        <color rgb="FF000000"/>
        <rFont val="Noto Sans CJK SC"/>
        <family val="2"/>
      </rPr>
      <t xml:space="preserve">개수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과일 코너</t>
    </r>
  </si>
  <si>
    <t xml:space="preserve">개</t>
  </si>
  <si>
    <r>
      <rPr>
        <sz val="10"/>
        <color rgb="FF000000"/>
        <rFont val="Arial"/>
        <family val="0"/>
        <charset val="1"/>
      </rPr>
      <t xml:space="preserve">RollerSpawner.count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</si>
  <si>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배치</t>
    </r>
    <r>
      <rPr>
        <sz val="10"/>
        <color rgb="FF000000"/>
        <rFont val="Arial"/>
        <family val="0"/>
        <charset val="1"/>
      </rPr>
      <t xml:space="preserve">)</t>
    </r>
  </si>
  <si>
    <t xml:space="preserve">ROL_COUNT_Z3</t>
  </si>
  <si>
    <r>
      <rPr>
        <sz val="10"/>
        <color rgb="FF000000"/>
        <rFont val="Noto Sans CJK SC"/>
        <family val="2"/>
      </rPr>
      <t xml:space="preserve">개수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음료 코너</t>
    </r>
  </si>
  <si>
    <t xml:space="preserve">ROL_COUNT_Z5</t>
  </si>
  <si>
    <r>
      <rPr>
        <sz val="10"/>
        <color rgb="FF000000"/>
        <rFont val="Noto Sans CJK SC"/>
        <family val="2"/>
      </rPr>
      <t xml:space="preserve">개수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카운터</t>
    </r>
  </si>
  <si>
    <t xml:space="preserve">ROL_PUSH_LEADER</t>
  </si>
  <si>
    <t xml:space="preserve">선두 미는 속도</t>
  </si>
  <si>
    <t xml:space="preserve">RollerSpawner.pushLeader</t>
  </si>
  <si>
    <t xml:space="preserve">RollerProfile.pushLeader</t>
  </si>
  <si>
    <r>
      <rPr>
        <sz val="10"/>
        <color rgb="FF000000"/>
        <rFont val="Noto Sans CJK SC"/>
        <family val="2"/>
      </rPr>
      <t xml:space="preserve">약 </t>
    </r>
    <r>
      <rPr>
        <sz val="10"/>
        <color rgb="FF000000"/>
        <rFont val="Arial"/>
        <family val="0"/>
        <charset val="1"/>
      </rPr>
      <t xml:space="preserve">2.5u </t>
    </r>
    <r>
      <rPr>
        <sz val="10"/>
        <color rgb="FF000000"/>
        <rFont val="Noto Sans CJK SC"/>
        <family val="2"/>
      </rPr>
      <t xml:space="preserve">밀림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손실 없음</t>
    </r>
  </si>
  <si>
    <t xml:space="preserve">ROL_PUSH_JELLY</t>
  </si>
  <si>
    <t xml:space="preserve">동료 미는 속도</t>
  </si>
  <si>
    <t xml:space="preserve">RollerSpawner.pushJelly</t>
  </si>
  <si>
    <t xml:space="preserve">RollerProfile.pushJelly</t>
  </si>
  <si>
    <t xml:space="preserve">연결은 끊기지 않음</t>
  </si>
  <si>
    <t xml:space="preserve">ROL_REHIT</t>
  </si>
  <si>
    <t xml:space="preserve">붙어 있을 때 다시 미는 간격</t>
  </si>
  <si>
    <r>
      <rPr>
        <sz val="10"/>
        <color rgb="FF000000"/>
        <rFont val="Arial"/>
        <family val="0"/>
        <charset val="1"/>
      </rPr>
      <t xml:space="preserve">RollerSpawner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</si>
  <si>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RollerProfile.rehit</t>
  </si>
  <si>
    <r>
      <rPr>
        <b val="true"/>
        <sz val="10"/>
        <color rgb="FF000000"/>
        <rFont val="Noto Sans CJK SC"/>
        <family val="2"/>
      </rPr>
      <t xml:space="preserve">과일 무더기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과일 코너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</si>
  <si>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FRT_WARN</t>
  </si>
  <si>
    <t xml:space="preserve">과일 무더기</t>
  </si>
  <si>
    <t xml:space="preserve">굴려 보내기 예고</t>
  </si>
  <si>
    <t xml:space="preserve">RollerVolley.warnTime</t>
  </si>
  <si>
    <t xml:space="preserve">VolleyProfile.warnTime</t>
  </si>
  <si>
    <r>
      <rPr>
        <sz val="10"/>
        <color rgb="FF000000"/>
        <rFont val="Noto Sans CJK SC"/>
        <family val="2"/>
      </rPr>
      <t xml:space="preserve">판매대 흔들림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레인 바닥 표시</t>
    </r>
  </si>
  <si>
    <t xml:space="preserve">FRT_INTERVAL</t>
  </si>
  <si>
    <t xml:space="preserve">발사 간격</t>
  </si>
  <si>
    <t xml:space="preserve">RollerVolley.interval</t>
  </si>
  <si>
    <t xml:space="preserve">VolleyProfile.interval</t>
  </si>
  <si>
    <t xml:space="preserve">FRT_PER_VOLLEY</t>
  </si>
  <si>
    <t xml:space="preserve">한 번에 굴리는 과일 수</t>
  </si>
  <si>
    <t xml:space="preserve">RollerVolley.perVolley</t>
  </si>
  <si>
    <t xml:space="preserve">VolleyProfile.perVolley</t>
  </si>
  <si>
    <t xml:space="preserve">FRT_SPEED</t>
  </si>
  <si>
    <t xml:space="preserve">구르는 속도</t>
  </si>
  <si>
    <t xml:space="preserve">RollerVolley.speed</t>
  </si>
  <si>
    <t xml:space="preserve">VolleyProfile.speed</t>
  </si>
  <si>
    <t xml:space="preserve">FRT_RADIUS</t>
  </si>
  <si>
    <t xml:space="preserve">과일 반지름</t>
  </si>
  <si>
    <t xml:space="preserve">RollerVolley.radius</t>
  </si>
  <si>
    <t xml:space="preserve">VolleyProfile.radius</t>
  </si>
  <si>
    <t xml:space="preserve">FRT_LANE_W</t>
  </si>
  <si>
    <t xml:space="preserve">레인 폭</t>
  </si>
  <si>
    <r>
      <rPr>
        <sz val="10"/>
        <color rgb="FF000000"/>
        <rFont val="Arial"/>
        <family val="0"/>
        <charset val="1"/>
      </rPr>
      <t xml:space="preserve">RollerVolley.laneWidth (</t>
    </r>
    <r>
      <rPr>
        <sz val="10"/>
        <color rgb="FF000000"/>
        <rFont val="Noto Sans CJK SC"/>
        <family val="2"/>
      </rPr>
      <t xml:space="preserve">씬 값</t>
    </r>
    <r>
      <rPr>
        <sz val="10"/>
        <color rgb="FF000000"/>
        <rFont val="Arial"/>
        <family val="0"/>
        <charset val="1"/>
      </rPr>
      <t xml:space="preserve">)</t>
    </r>
  </si>
  <si>
    <t xml:space="preserve">VolleyProfile.laneWidth</t>
  </si>
  <si>
    <t xml:space="preserve">손실은 덩어리 분리</t>
  </si>
  <si>
    <t xml:space="preserve">FRT_MIN_IMPACT</t>
  </si>
  <si>
    <t xml:space="preserve">피해 최소 충격 속도</t>
  </si>
  <si>
    <t xml:space="preserve">RollerVolley.minImpactSpeed</t>
  </si>
  <si>
    <t xml:space="preserve">VolleyProfile.minImpactSpeed</t>
  </si>
  <si>
    <r>
      <rPr>
        <b val="true"/>
        <sz val="10"/>
        <color rgb="FF000000"/>
        <rFont val="Noto Sans CJK SC"/>
        <family val="2"/>
      </rPr>
      <t xml:space="preserve">바닥 방해 </t>
    </r>
    <r>
      <rPr>
        <b val="true"/>
        <sz val="10"/>
        <color rgb="FF000000"/>
        <rFont val="Arial"/>
        <family val="0"/>
        <charset val="1"/>
      </rPr>
      <t xml:space="preserve">(v1.1 </t>
    </r>
    <r>
      <rPr>
        <b val="true"/>
        <sz val="10"/>
        <color rgb="FF000000"/>
        <rFont val="Noto Sans CJK SC"/>
        <family val="2"/>
      </rPr>
      <t xml:space="preserve">신규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</si>
  <si>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SRF_SLIP_ACCEL</t>
  </si>
  <si>
    <t xml:space="preserve">바닥</t>
  </si>
  <si>
    <r>
      <rPr>
        <sz val="10"/>
        <color rgb="FF000000"/>
        <rFont val="Noto Sans CJK SC"/>
        <family val="2"/>
      </rPr>
      <t xml:space="preserve">미끄럼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가속 배율</t>
    </r>
  </si>
  <si>
    <t xml:space="preserve">SurfaceZone.slipAccel</t>
  </si>
  <si>
    <t xml:space="preserve">SurfaceProfile.slipAccel</t>
  </si>
  <si>
    <r>
      <rPr>
        <sz val="10"/>
        <color rgb="FF000000"/>
        <rFont val="Noto Sans CJK SC"/>
        <family val="2"/>
      </rPr>
      <t xml:space="preserve">쏟은 음료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출발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멈춤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방향 전환이 느림</t>
    </r>
  </si>
  <si>
    <t xml:space="preserve">SRF_SLIP_SPEED</t>
  </si>
  <si>
    <r>
      <rPr>
        <sz val="10"/>
        <color rgb="FF000000"/>
        <rFont val="Noto Sans CJK SC"/>
        <family val="2"/>
      </rPr>
      <t xml:space="preserve">미끄럼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최고 속도 배율</t>
    </r>
  </si>
  <si>
    <t xml:space="preserve">SurfaceZone.slipSpeed</t>
  </si>
  <si>
    <t xml:space="preserve">SurfaceProfile.slipSpeed</t>
  </si>
  <si>
    <t xml:space="preserve">SRF_STICKY_SPEED</t>
  </si>
  <si>
    <r>
      <rPr>
        <sz val="10"/>
        <color rgb="FF000000"/>
        <rFont val="Noto Sans CJK SC"/>
        <family val="2"/>
      </rPr>
      <t xml:space="preserve">끈적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속도 배율</t>
    </r>
  </si>
  <si>
    <t xml:space="preserve">SurfaceZone.stickySpeed</t>
  </si>
  <si>
    <t xml:space="preserve">SurfaceProfile.stickySpeed</t>
  </si>
  <si>
    <t xml:space="preserve">녹은 아이스크림</t>
  </si>
  <si>
    <t xml:space="preserve">SRF_STICKY_JUMP</t>
  </si>
  <si>
    <r>
      <rPr>
        <sz val="10"/>
        <color rgb="FF000000"/>
        <rFont val="Noto Sans CJK SC"/>
        <family val="2"/>
      </rPr>
      <t xml:space="preserve">끈적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점프 배율</t>
    </r>
  </si>
  <si>
    <t xml:space="preserve">SurfaceZone.stickyJump</t>
  </si>
  <si>
    <t xml:space="preserve">SurfaceProfile.stickyJump</t>
  </si>
  <si>
    <r>
      <rPr>
        <b val="true"/>
        <sz val="10"/>
        <color rgb="FF000000"/>
        <rFont val="Noto Sans CJK SC"/>
        <family val="2"/>
      </rPr>
      <t xml:space="preserve">얼음 </t>
    </r>
    <r>
      <rPr>
        <b val="true"/>
        <sz val="10"/>
        <color rgb="FF000000"/>
        <rFont val="Arial"/>
        <family val="0"/>
        <charset val="1"/>
      </rPr>
      <t xml:space="preserve">(v1.1 </t>
    </r>
    <r>
      <rPr>
        <b val="true"/>
        <sz val="10"/>
        <color rgb="FF000000"/>
        <rFont val="Noto Sans CJK SC"/>
        <family val="2"/>
      </rPr>
      <t xml:space="preserve">신규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</si>
  <si>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ICE_RADIUS</t>
  </si>
  <si>
    <t xml:space="preserve">얼음</t>
  </si>
  <si>
    <t xml:space="preserve">빙결 반경</t>
  </si>
  <si>
    <t xml:space="preserve">IceBlock.radius</t>
  </si>
  <si>
    <t xml:space="preserve">IceProfile.radius</t>
  </si>
  <si>
    <t xml:space="preserve">ICE_FREEZE</t>
  </si>
  <si>
    <t xml:space="preserve">빙결 시간</t>
  </si>
  <si>
    <t xml:space="preserve">IceBlock.freezeTime</t>
  </si>
  <si>
    <t xml:space="preserve">IceProfile.freezeTime</t>
  </si>
  <si>
    <t xml:space="preserve">ICE_COOLDOWN</t>
  </si>
  <si>
    <t xml:space="preserve">얼린 뒤 얼음이 쉬는 시간</t>
  </si>
  <si>
    <t xml:space="preserve">IceBlock.cooldown</t>
  </si>
  <si>
    <t xml:space="preserve">IceProfile.cooldown</t>
  </si>
  <si>
    <r>
      <rPr>
        <sz val="10"/>
        <color rgb="FF000000"/>
        <rFont val="Noto Sans CJK SC"/>
        <family val="2"/>
      </rPr>
      <t xml:space="preserve">선두 쪽 보호는 </t>
    </r>
    <r>
      <rPr>
        <sz val="10"/>
        <color rgb="FF000000"/>
        <rFont val="Arial"/>
        <family val="0"/>
        <charset val="1"/>
      </rPr>
      <t xml:space="preserve">LDR_FREEZE_SAFE</t>
    </r>
  </si>
  <si>
    <t xml:space="preserve">계산대 벨트</t>
  </si>
  <si>
    <t xml:space="preserve">CNV_SPEED</t>
  </si>
  <si>
    <t xml:space="preserve">벨트</t>
  </si>
  <si>
    <t xml:space="preserve">벨트 속도</t>
  </si>
  <si>
    <t xml:space="preserve">ConveyorBelt.speed</t>
  </si>
  <si>
    <t xml:space="preserve">ConveyorProfile.speed</t>
  </si>
  <si>
    <r>
      <rPr>
        <sz val="10"/>
        <color rgb="FF000000"/>
        <rFont val="Noto Sans CJK SC"/>
        <family val="2"/>
      </rPr>
      <t xml:space="preserve">씬 값 </t>
    </r>
    <r>
      <rPr>
        <sz val="10"/>
        <color rgb="FF000000"/>
        <rFont val="Arial"/>
        <family val="0"/>
        <charset val="1"/>
      </rPr>
      <t xml:space="preserve">1.3 · 1.5. </t>
    </r>
    <r>
      <rPr>
        <sz val="10"/>
        <color rgb="FF000000"/>
        <rFont val="Noto Sans CJK SC"/>
        <family val="2"/>
      </rPr>
      <t xml:space="preserve">손실 없음</t>
    </r>
  </si>
  <si>
    <t xml:space="preserve">CNV_FOOD_FACTOR</t>
  </si>
  <si>
    <t xml:space="preserve">음식 이동 배율</t>
  </si>
  <si>
    <t xml:space="preserve">ConveyorBelt.foodSpeedFactor</t>
  </si>
  <si>
    <t xml:space="preserve">ConveyorProfile.foodSpeedFactor</t>
  </si>
  <si>
    <r>
      <rPr>
        <b val="true"/>
        <sz val="10"/>
        <color rgb="FF000000"/>
        <rFont val="Noto Sans CJK SC"/>
        <family val="2"/>
      </rPr>
      <t xml:space="preserve">은신처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판정 없음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Noto Sans CJK SC"/>
        <family val="2"/>
      </rPr>
      <t xml:space="preserve">레벨 규격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</si>
  <si>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HID_SMALL_CAP</t>
  </si>
  <si>
    <t xml:space="preserve">은신</t>
  </si>
  <si>
    <t xml:space="preserve">작은 은신처 수용 길이</t>
  </si>
  <si>
    <t xml:space="preserve">HideoutMarker.CapacityCm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</si>
  <si>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규격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</si>
  <si>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바구니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상자</t>
    </r>
  </si>
  <si>
    <t xml:space="preserve">HID_LONG_CAP</t>
  </si>
  <si>
    <t xml:space="preserve">긴 은신 통로 수용 길이</t>
  </si>
  <si>
    <t xml:space="preserve">매대 하단</t>
  </si>
  <si>
    <t xml:space="preserve">HID_SMALL_PATH</t>
  </si>
  <si>
    <t xml:space="preserve">작은 은신처 내부 경로 최소</t>
  </si>
  <si>
    <t xml:space="preserve">HideoutMarker.RequiredLength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</si>
  <si>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검사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</si>
  <si>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30cm </t>
    </r>
    <r>
      <rPr>
        <sz val="10"/>
        <color rgb="FF000000"/>
        <rFont val="Noto Sans CJK SC"/>
        <family val="2"/>
      </rPr>
      <t xml:space="preserve">꼬리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여유 </t>
    </r>
    <r>
      <rPr>
        <sz val="10"/>
        <color rgb="FF000000"/>
        <rFont val="Arial"/>
        <family val="0"/>
        <charset val="1"/>
      </rPr>
      <t xml:space="preserve">1u</t>
    </r>
  </si>
  <si>
    <t xml:space="preserve">HID_LONG_PATH</t>
  </si>
  <si>
    <t xml:space="preserve">긴 은신 통로 내부 경로 최소</t>
  </si>
  <si>
    <r>
      <rPr>
        <sz val="10"/>
        <color rgb="FF000000"/>
        <rFont val="Arial"/>
        <family val="0"/>
        <charset val="1"/>
      </rPr>
      <t xml:space="preserve">100cm </t>
    </r>
    <r>
      <rPr>
        <sz val="10"/>
        <color rgb="FF000000"/>
        <rFont val="Noto Sans CJK SC"/>
        <family val="2"/>
      </rPr>
      <t xml:space="preserve">꼬리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여유 </t>
    </r>
    <r>
      <rPr>
        <sz val="10"/>
        <color rgb="FF000000"/>
        <rFont val="Arial"/>
        <family val="0"/>
        <charset val="1"/>
      </rPr>
      <t xml:space="preserve">1u</t>
    </r>
  </si>
  <si>
    <t xml:space="preserve">카메라</t>
  </si>
  <si>
    <t xml:space="preserve">CAM_SENS</t>
  </si>
  <si>
    <t xml:space="preserve">마우스 감도</t>
  </si>
  <si>
    <t xml:space="preserve">°/px</t>
  </si>
  <si>
    <t xml:space="preserve">OrbitCamera.sensitivity</t>
  </si>
  <si>
    <t xml:space="preserve">Settings.lookSensitivity</t>
  </si>
  <si>
    <r>
      <rPr>
        <sz val="10"/>
        <color rgb="FF000000"/>
        <rFont val="Noto Sans CJK SC"/>
        <family val="2"/>
      </rPr>
      <t xml:space="preserve">설정 저장 대상 </t>
    </r>
    <r>
      <rPr>
        <sz val="10"/>
        <color rgb="FF000000"/>
        <rFont val="Arial"/>
        <family val="0"/>
        <charset val="1"/>
      </rPr>
      <t xml:space="preserve">(Beta)</t>
    </r>
  </si>
  <si>
    <t xml:space="preserve">CAM_PITCH</t>
  </si>
  <si>
    <t xml:space="preserve">기본 내려보기 각</t>
  </si>
  <si>
    <t xml:space="preserve">°</t>
  </si>
  <si>
    <t xml:space="preserve">OrbitCamera.pitch</t>
  </si>
  <si>
    <t xml:space="preserve">GameBalance.camera.pitch</t>
  </si>
  <si>
    <r>
      <rPr>
        <sz val="10"/>
        <color rgb="FF000000"/>
        <rFont val="Noto Sans CJK SC"/>
        <family val="2"/>
      </rPr>
      <t xml:space="preserve">범위 </t>
    </r>
    <r>
      <rPr>
        <sz val="10"/>
        <color rgb="FF000000"/>
        <rFont val="Arial"/>
        <family val="0"/>
        <charset val="1"/>
      </rPr>
      <t xml:space="preserve">5~75°</t>
    </r>
  </si>
  <si>
    <t xml:space="preserve">CAM_BASE_DIST</t>
  </si>
  <si>
    <r>
      <rPr>
        <sz val="10"/>
        <color rgb="FF000000"/>
        <rFont val="Noto Sans CJK SC"/>
        <family val="2"/>
      </rPr>
      <t xml:space="preserve">기본 거리 </t>
    </r>
    <r>
      <rPr>
        <sz val="10"/>
        <color rgb="FF000000"/>
        <rFont val="Arial"/>
        <family val="0"/>
        <charset val="1"/>
      </rPr>
      <t xml:space="preserve">(10cm)</t>
    </r>
  </si>
  <si>
    <t xml:space="preserve">OrbitCamera.baseDistance</t>
  </si>
  <si>
    <t xml:space="preserve">GameBalance.camera.baseDistance</t>
  </si>
  <si>
    <t xml:space="preserve">CAM_DIST_PER_CM</t>
  </si>
  <si>
    <r>
      <rPr>
        <sz val="10"/>
        <color rgb="FF000000"/>
        <rFont val="Arial"/>
        <family val="0"/>
        <charset val="1"/>
      </rPr>
      <t xml:space="preserve">cm</t>
    </r>
    <r>
      <rPr>
        <sz val="10"/>
        <color rgb="FF000000"/>
        <rFont val="Noto Sans CJK SC"/>
        <family val="2"/>
      </rPr>
      <t xml:space="preserve">당 거리 증가</t>
    </r>
  </si>
  <si>
    <t xml:space="preserve">OrbitCamera.distancePerCm</t>
  </si>
  <si>
    <t xml:space="preserve">GameBalance.camera.distancePerCm</t>
  </si>
  <si>
    <t xml:space="preserve">CAM_MAX_DIST</t>
  </si>
  <si>
    <t xml:space="preserve">최대 거리</t>
  </si>
  <si>
    <t xml:space="preserve">OrbitCamera.maxDistance</t>
  </si>
  <si>
    <t xml:space="preserve">GameBalance.camera.maxDistance</t>
  </si>
  <si>
    <t xml:space="preserve">CAM_PIVOT</t>
  </si>
  <si>
    <t xml:space="preserve">주시점 높이</t>
  </si>
  <si>
    <t xml:space="preserve">OrbitCamera.pivotHeight</t>
  </si>
  <si>
    <t xml:space="preserve">GameBalance.camera.pivotHeight</t>
  </si>
  <si>
    <t xml:space="preserve">낮은 천장 아래에서는 낮춘다</t>
  </si>
  <si>
    <t xml:space="preserve">기분 표현</t>
  </si>
  <si>
    <t xml:space="preserve">EMO_WAVE</t>
  </si>
  <si>
    <t xml:space="preserve">기분</t>
  </si>
  <si>
    <t xml:space="preserve">손 흔들기 길이</t>
  </si>
  <si>
    <t xml:space="preserve">JellyEmote.Duration</t>
  </si>
  <si>
    <t xml:space="preserve">EmoteTable.wave</t>
  </si>
  <si>
    <t xml:space="preserve">EMO_SPIN</t>
  </si>
  <si>
    <t xml:space="preserve">빙글빙글 길이</t>
  </si>
  <si>
    <t xml:space="preserve">EmoteTable.spin</t>
  </si>
  <si>
    <r>
      <rPr>
        <sz val="10"/>
        <color rgb="FF000000"/>
        <rFont val="Arial"/>
        <family val="0"/>
        <charset val="1"/>
      </rPr>
      <t xml:space="preserve">101cm </t>
    </r>
    <r>
      <rPr>
        <sz val="10"/>
        <color rgb="FF000000"/>
        <rFont val="Noto Sans CJK SC"/>
        <family val="2"/>
      </rPr>
      <t xml:space="preserve">엔딩에서도 사용</t>
    </r>
  </si>
  <si>
    <t xml:space="preserve">EMO_HOP</t>
  </si>
  <si>
    <t xml:space="preserve">폴짝폴짝 길이</t>
  </si>
  <si>
    <t xml:space="preserve">EmoteTable.hop</t>
  </si>
  <si>
    <t xml:space="preserve">EMO_BOW</t>
  </si>
  <si>
    <t xml:space="preserve">꾸벅 인사 길이</t>
  </si>
  <si>
    <t xml:space="preserve">EmoteTable.bow</t>
  </si>
  <si>
    <t xml:space="preserve">EMO_FIRST_DELAY</t>
  </si>
  <si>
    <t xml:space="preserve">첫 동료 따라 하기 지연</t>
  </si>
  <si>
    <t xml:space="preserve">JellyChain.PlayEmote</t>
  </si>
  <si>
    <t xml:space="preserve">EmoteTable.firstDelay</t>
  </si>
  <si>
    <t xml:space="preserve">EMO_STEP</t>
  </si>
  <si>
    <t xml:space="preserve">동료 간 전파 간격</t>
  </si>
  <si>
    <t xml:space="preserve">EmoteTable.step</t>
  </si>
  <si>
    <t xml:space="preserve">EMO_HOP_ONCE</t>
  </si>
  <si>
    <t xml:space="preserve">제자리 점프 폴짝 길이</t>
  </si>
  <si>
    <r>
      <rPr>
        <sz val="10"/>
        <color rgb="FF000000"/>
        <rFont val="Arial"/>
        <family val="0"/>
        <charset val="1"/>
      </rPr>
      <t xml:space="preserve">JellyEmote.Hop1Dur (</t>
    </r>
    <r>
      <rPr>
        <sz val="10"/>
        <color rgb="FF000000"/>
        <rFont val="Noto Sans CJK SC"/>
        <family val="2"/>
      </rPr>
      <t xml:space="preserve">코드 상수</t>
    </r>
    <r>
      <rPr>
        <sz val="10"/>
        <color rgb="FF000000"/>
        <rFont val="Arial"/>
        <family val="0"/>
        <charset val="1"/>
      </rPr>
      <t xml:space="preserve">)</t>
    </r>
  </si>
  <si>
    <t xml:space="preserve">EmoteTable.hopOnce</t>
  </si>
  <si>
    <t xml:space="preserve">진행</t>
  </si>
  <si>
    <t xml:space="preserve">GAM_MAP_W</t>
  </si>
  <si>
    <r>
      <rPr>
        <sz val="10"/>
        <color rgb="FF000000"/>
        <rFont val="Noto Sans CJK SC"/>
        <family val="2"/>
      </rPr>
      <t xml:space="preserve">맵 폭 </t>
    </r>
    <r>
      <rPr>
        <sz val="10"/>
        <color rgb="FF000000"/>
        <rFont val="Arial"/>
        <family val="0"/>
        <charset val="1"/>
      </rPr>
      <t xml:space="preserve">(x)</t>
    </r>
  </si>
  <si>
    <t xml:space="preserve">타일</t>
  </si>
  <si>
    <t xml:space="preserve">LevelBuilder.MapW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</si>
  <si>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</si>
  <si>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절반 면적으로 축소</t>
    </r>
  </si>
  <si>
    <t xml:space="preserve">GAM_MAP_D</t>
  </si>
  <si>
    <r>
      <rPr>
        <sz val="10"/>
        <color rgb="FF000000"/>
        <rFont val="Noto Sans CJK SC"/>
        <family val="2"/>
      </rPr>
      <t xml:space="preserve">맵 깊이 </t>
    </r>
    <r>
      <rPr>
        <sz val="10"/>
        <color rgb="FF000000"/>
        <rFont val="Arial"/>
        <family val="0"/>
        <charset val="1"/>
      </rPr>
      <t xml:space="preserve">(z)</t>
    </r>
  </si>
  <si>
    <t xml:space="preserve">LevelBuilder.MapD</t>
  </si>
  <si>
    <t xml:space="preserve">GAM_ZONES</t>
  </si>
  <si>
    <t xml:space="preserve">구역 수</t>
  </si>
  <si>
    <t xml:space="preserve">ZoneVolume Z0~Z6</t>
  </si>
  <si>
    <r>
      <rPr>
        <sz val="10"/>
        <color rgb="FF000000"/>
        <rFont val="Arial"/>
        <family val="0"/>
        <charset val="1"/>
      </rPr>
      <t xml:space="preserve">ZoneDefinition 7</t>
    </r>
    <r>
      <rPr>
        <sz val="10"/>
        <color rgb="FF000000"/>
        <rFont val="Noto Sans CJK SC"/>
        <family val="2"/>
      </rPr>
      <t xml:space="preserve">개</t>
    </r>
  </si>
  <si>
    <t xml:space="preserve">카운터와 골 홀 분리</t>
  </si>
  <si>
    <t xml:space="preserve">GAM_ZONE_SIGNS</t>
  </si>
  <si>
    <t xml:space="preserve">구역 안내판 수</t>
  </si>
  <si>
    <t xml:space="preserve">PointMarker(ZoneSign)</t>
  </si>
  <si>
    <r>
      <rPr>
        <sz val="10"/>
        <color rgb="FF000000"/>
        <rFont val="Arial"/>
        <family val="0"/>
        <charset val="1"/>
      </rPr>
      <t xml:space="preserve">v1.0 GAM_CHECKPOINTS </t>
    </r>
    <r>
      <rPr>
        <sz val="10"/>
        <color rgb="FF000000"/>
        <rFont val="Noto Sans CJK SC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저장 기능 없음</t>
    </r>
  </si>
  <si>
    <t xml:space="preserve">GAM_SUPPLY_POINTS</t>
  </si>
  <si>
    <t xml:space="preserve">보충 지점 수</t>
  </si>
  <si>
    <t xml:space="preserve">SupplyPoint</t>
  </si>
  <si>
    <t xml:space="preserve">ZoneDefinition.supplyPoint</t>
  </si>
  <si>
    <r>
      <rPr>
        <sz val="10"/>
        <color rgb="FF000000"/>
        <rFont val="Noto Sans CJK SC"/>
        <family val="2"/>
      </rPr>
      <t xml:space="preserve">본게임 구역마다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</t>
    </r>
  </si>
  <si>
    <t xml:space="preserve">GAM_PLAYTIME</t>
  </si>
  <si>
    <t xml:space="preserve">한 판 목표 시간</t>
  </si>
  <si>
    <t xml:space="preserve">분</t>
  </si>
  <si>
    <t xml:space="preserve">—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</si>
  <si>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레벨 목표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</si>
  <si>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맵 축소 후 재측정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구역 시트 </t>
    </r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열</t>
    </r>
  </si>
  <si>
    <t xml:space="preserve">GAM_RESULT_DELAY</t>
  </si>
  <si>
    <t xml:space="preserve">클리어 → 결과 화면</t>
  </si>
  <si>
    <t xml:space="preserve">GameManager.resultDelay</t>
  </si>
  <si>
    <t xml:space="preserve">GameBalance.game.resultDelay</t>
  </si>
  <si>
    <r>
      <rPr>
        <sz val="10"/>
        <color rgb="FF000000"/>
        <rFont val="Noto Sans CJK SC"/>
        <family val="2"/>
      </rPr>
      <t xml:space="preserve">실루엣 연출</t>
    </r>
    <r>
      <rPr>
        <sz val="10"/>
        <color rgb="FF000000"/>
        <rFont val="Arial"/>
        <family val="0"/>
        <charset val="1"/>
      </rPr>
      <t xml:space="preserve">(Beta)</t>
    </r>
    <r>
      <rPr>
        <sz val="10"/>
        <color rgb="FF000000"/>
        <rFont val="Noto Sans CJK SC"/>
        <family val="2"/>
      </rPr>
      <t xml:space="preserve">을 넣을 때 늘린다</t>
    </r>
  </si>
  <si>
    <t xml:space="preserve">GAM_REPLACE_MARK</t>
  </si>
  <si>
    <t xml:space="preserve">보충 음식 방향 표시 유지</t>
  </si>
  <si>
    <t xml:space="preserve">GameManager.RecentReplacements</t>
  </si>
  <si>
    <t xml:space="preserve">GameBalance.game.replacementMarkTime</t>
  </si>
  <si>
    <r>
      <rPr>
        <b val="true"/>
        <sz val="10"/>
        <color rgb="FF000000"/>
        <rFont val="Noto Sans CJK SC"/>
        <family val="2"/>
      </rPr>
      <t xml:space="preserve">삭제된 </t>
    </r>
    <r>
      <rPr>
        <b val="true"/>
        <sz val="10"/>
        <color rgb="FF000000"/>
        <rFont val="Arial"/>
        <family val="0"/>
        <charset val="1"/>
      </rPr>
      <t xml:space="preserve">ID (v1.0 → v1.1, </t>
    </r>
    <r>
      <rPr>
        <b val="true"/>
        <sz val="10"/>
        <color rgb="FF000000"/>
        <rFont val="Noto Sans CJK SC"/>
        <family val="2"/>
      </rPr>
      <t xml:space="preserve">참고용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</si>
  <si>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LDR_RUN_MULT</t>
  </si>
  <si>
    <t xml:space="preserve">달리기 배율</t>
  </si>
  <si>
    <r>
      <rPr>
        <sz val="10"/>
        <color rgb="FF808080"/>
        <rFont val="Arial"/>
        <family val="0"/>
        <charset val="1"/>
      </rPr>
      <t xml:space="preserve">9/29: </t>
    </r>
    <r>
      <rPr>
        <sz val="10"/>
        <color rgb="FF808080"/>
        <rFont val="Noto Sans CJK SC"/>
        <family val="2"/>
      </rPr>
      <t xml:space="preserve">달리기 삭제</t>
    </r>
    <r>
      <rPr>
        <sz val="10"/>
        <color rgb="FF808080"/>
        <rFont val="Arial"/>
        <family val="0"/>
        <charset val="1"/>
      </rPr>
      <t xml:space="preserve">, Shift = </t>
    </r>
    <r>
      <rPr>
        <sz val="10"/>
        <color rgb="FF808080"/>
        <rFont val="Noto Sans CJK SC"/>
        <family val="2"/>
      </rPr>
      <t xml:space="preserve">점프</t>
    </r>
  </si>
  <si>
    <t xml:space="preserve">LDR_RUN_MAX</t>
  </si>
  <si>
    <t xml:space="preserve">달리기 최대 지속</t>
  </si>
  <si>
    <t xml:space="preserve">달리기 삭제</t>
  </si>
  <si>
    <t xml:space="preserve">LDR_RUN_CD_FULL</t>
  </si>
  <si>
    <r>
      <rPr>
        <sz val="10"/>
        <color rgb="FF808080"/>
        <rFont val="Noto Sans CJK SC"/>
        <family val="2"/>
      </rPr>
      <t xml:space="preserve">달리기 쿨타임 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전부 사용</t>
    </r>
    <r>
      <rPr>
        <sz val="10"/>
        <color rgb="FF808080"/>
        <rFont val="Arial"/>
        <family val="0"/>
        <charset val="1"/>
      </rPr>
      <t xml:space="preserve">)</t>
    </r>
  </si>
  <si>
    <t xml:space="preserve">LDR_RUN_CD_MIN</t>
  </si>
  <si>
    <t xml:space="preserve">달리기 최소 쿨타임</t>
  </si>
  <si>
    <t xml:space="preserve">LDR_EAT_RANGE</t>
  </si>
  <si>
    <r>
      <rPr>
        <sz val="10"/>
        <color rgb="FF808080"/>
        <rFont val="Noto Sans CJK SC"/>
        <family val="2"/>
      </rPr>
      <t xml:space="preserve">섭취 범위 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몸길이</t>
    </r>
    <r>
      <rPr>
        <sz val="10"/>
        <color rgb="FF808080"/>
        <rFont val="Arial"/>
        <family val="0"/>
        <charset val="1"/>
      </rPr>
      <t xml:space="preserve">)</t>
    </r>
  </si>
  <si>
    <r>
      <rPr>
        <sz val="10"/>
        <color rgb="FF808080"/>
        <rFont val="Arial"/>
        <family val="0"/>
        <charset val="1"/>
      </rPr>
      <t xml:space="preserve">LDR_EAT_RING · LDR_EAT_MARGIN</t>
    </r>
    <r>
      <rPr>
        <sz val="10"/>
        <color rgb="FF808080"/>
        <rFont val="Noto Sans CJK SC"/>
        <family val="2"/>
      </rPr>
      <t xml:space="preserve">으로 대체</t>
    </r>
  </si>
  <si>
    <t xml:space="preserve">JLY_RECOVER_RANGE</t>
  </si>
  <si>
    <r>
      <rPr>
        <sz val="10"/>
        <color rgb="FF808080"/>
        <rFont val="Noto Sans CJK SC"/>
        <family val="2"/>
      </rPr>
      <t xml:space="preserve">회수 범위 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몸길이</t>
    </r>
    <r>
      <rPr>
        <sz val="10"/>
        <color rgb="FF808080"/>
        <rFont val="Arial"/>
        <family val="0"/>
        <charset val="1"/>
      </rPr>
      <t xml:space="preserve">)</t>
    </r>
  </si>
  <si>
    <t xml:space="preserve">회수도 발밑 링으로 판정</t>
  </si>
  <si>
    <t xml:space="preserve">CHN_FOLLOW_MAX</t>
  </si>
  <si>
    <r>
      <rPr>
        <sz val="10"/>
        <color rgb="FF808080"/>
        <rFont val="Noto Sans CJK SC"/>
        <family val="2"/>
      </rPr>
      <t xml:space="preserve">추종 최고 속도 </t>
    </r>
    <r>
      <rPr>
        <sz val="10"/>
        <color rgb="FF808080"/>
        <rFont val="Arial"/>
        <family val="0"/>
        <charset val="1"/>
      </rPr>
      <t xml:space="preserve">(× </t>
    </r>
    <r>
      <rPr>
        <sz val="10"/>
        <color rgb="FF808080"/>
        <rFont val="Noto Sans CJK SC"/>
        <family val="2"/>
      </rPr>
      <t xml:space="preserve">달리기</t>
    </r>
    <r>
      <rPr>
        <sz val="10"/>
        <color rgb="FF808080"/>
        <rFont val="Arial"/>
        <family val="0"/>
        <charset val="1"/>
      </rPr>
      <t xml:space="preserve">)</t>
    </r>
  </si>
  <si>
    <r>
      <rPr>
        <sz val="10"/>
        <color rgb="FF808080"/>
        <rFont val="Arial"/>
        <family val="0"/>
        <charset val="1"/>
      </rPr>
      <t xml:space="preserve">CHN_CATCHUP</t>
    </r>
    <r>
      <rPr>
        <sz val="10"/>
        <color rgb="FF808080"/>
        <rFont val="Noto Sans CJK SC"/>
        <family val="2"/>
      </rPr>
      <t xml:space="preserve">으로 대체</t>
    </r>
  </si>
  <si>
    <t xml:space="preserve">VAC_ZONE_OFFSET</t>
  </si>
  <si>
    <r>
      <rPr>
        <sz val="10"/>
        <color rgb="FF808080"/>
        <rFont val="Noto Sans CJK SC"/>
        <family val="2"/>
      </rPr>
      <t xml:space="preserve">흡입 영역 중심 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전방</t>
    </r>
    <r>
      <rPr>
        <sz val="10"/>
        <color rgb="FF808080"/>
        <rFont val="Arial"/>
        <family val="0"/>
        <charset val="1"/>
      </rPr>
      <t xml:space="preserve">)</t>
    </r>
  </si>
  <si>
    <r>
      <rPr>
        <sz val="10"/>
        <color rgb="FF808080"/>
        <rFont val="Arial"/>
        <family val="0"/>
        <charset val="1"/>
      </rPr>
      <t xml:space="preserve">VAC_ZONE_GAP</t>
    </r>
    <r>
      <rPr>
        <sz val="10"/>
        <color rgb="FF808080"/>
        <rFont val="Noto Sans CJK SC"/>
        <family val="2"/>
      </rPr>
      <t xml:space="preserve">으로 대체</t>
    </r>
  </si>
  <si>
    <t xml:space="preserve">FST_ZONE_L</t>
  </si>
  <si>
    <t xml:space="preserve">낙하 구역 길이</t>
  </si>
  <si>
    <r>
      <rPr>
        <sz val="10"/>
        <color rgb="FF808080"/>
        <rFont val="Arial"/>
        <family val="0"/>
        <charset val="1"/>
      </rPr>
      <t xml:space="preserve">FST_ZONE_MARGIN</t>
    </r>
    <r>
      <rPr>
        <sz val="10"/>
        <color rgb="FF808080"/>
        <rFont val="Noto Sans CJK SC"/>
        <family val="2"/>
      </rPr>
      <t xml:space="preserve">으로 대체 </t>
    </r>
    <r>
      <rPr>
        <sz val="10"/>
        <color rgb="FF808080"/>
        <rFont val="Arial"/>
        <family val="0"/>
        <charset val="1"/>
      </rPr>
      <t xml:space="preserve">(</t>
    </r>
    <r>
      <rPr>
        <sz val="10"/>
        <color rgb="FF808080"/>
        <rFont val="Noto Sans CJK SC"/>
        <family val="2"/>
      </rPr>
      <t xml:space="preserve">매대별 크기</t>
    </r>
    <r>
      <rPr>
        <sz val="10"/>
        <color rgb="FF808080"/>
        <rFont val="Arial"/>
        <family val="0"/>
        <charset val="1"/>
      </rPr>
      <t xml:space="preserve">)</t>
    </r>
  </si>
  <si>
    <t xml:space="preserve">DET_VIEW_ANGLE</t>
  </si>
  <si>
    <t xml:space="preserve">감지</t>
  </si>
  <si>
    <t xml:space="preserve">시야각</t>
  </si>
  <si>
    <r>
      <rPr>
        <sz val="10"/>
        <color rgb="FF808080"/>
        <rFont val="Arial"/>
        <family val="0"/>
        <charset val="1"/>
      </rPr>
      <t xml:space="preserve">9/29: </t>
    </r>
    <r>
      <rPr>
        <sz val="10"/>
        <color rgb="FF808080"/>
        <rFont val="Noto Sans CJK SC"/>
        <family val="2"/>
      </rPr>
      <t xml:space="preserve">직원 감지 전체 삭제</t>
    </r>
  </si>
  <si>
    <t xml:space="preserve">DET_VIEW_RANGE</t>
  </si>
  <si>
    <t xml:space="preserve">시야 거리</t>
  </si>
  <si>
    <t xml:space="preserve">직원 감지 삭제</t>
  </si>
  <si>
    <t xml:space="preserve">DET_NOISE_WALK</t>
  </si>
  <si>
    <t xml:space="preserve">걷기 소음 반경</t>
  </si>
  <si>
    <t xml:space="preserve">DET_NOISE_RUN_MULT</t>
  </si>
  <si>
    <t xml:space="preserve">달리기 소음 배율</t>
  </si>
  <si>
    <t xml:space="preserve">DET_SUSPECT_PAUSE</t>
  </si>
  <si>
    <r>
      <rPr>
        <sz val="10"/>
        <color rgb="FF808080"/>
        <rFont val="Noto Sans CJK SC"/>
        <family val="2"/>
      </rPr>
      <t xml:space="preserve">의심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Noto Sans CJK SC"/>
        <family val="2"/>
      </rPr>
      <t xml:space="preserve">멈춰 있는 시간</t>
    </r>
  </si>
  <si>
    <t xml:space="preserve">DET_INVESTIGATE_SPEED</t>
  </si>
  <si>
    <r>
      <rPr>
        <sz val="10"/>
        <color rgb="FF808080"/>
        <rFont val="Noto Sans CJK SC"/>
        <family val="2"/>
      </rPr>
      <t xml:space="preserve">확인</t>
    </r>
    <r>
      <rPr>
        <sz val="10"/>
        <color rgb="FF808080"/>
        <rFont val="Arial"/>
        <family val="0"/>
        <charset val="1"/>
      </rPr>
      <t xml:space="preserve">: </t>
    </r>
    <r>
      <rPr>
        <sz val="10"/>
        <color rgb="FF808080"/>
        <rFont val="Noto Sans CJK SC"/>
        <family val="2"/>
      </rPr>
      <t xml:space="preserve">이동 속도</t>
    </r>
  </si>
  <si>
    <t xml:space="preserve">DET_INVESTIGATE_WAIT</t>
  </si>
  <si>
    <t xml:space="preserve">확인 지점에서 둘러보는 시간</t>
  </si>
  <si>
    <t xml:space="preserve">DET_SIGHT_TO_GRAB</t>
  </si>
  <si>
    <t xml:space="preserve">시야 유지 → 잡기 예고</t>
  </si>
  <si>
    <t xml:space="preserve">DET_GRAB_WARN</t>
  </si>
  <si>
    <t xml:space="preserve">잡기 예고</t>
  </si>
  <si>
    <t xml:space="preserve">DET_GRAB_RANGE</t>
  </si>
  <si>
    <t xml:space="preserve">잡기 판정 거리</t>
  </si>
  <si>
    <t xml:space="preserve">DET_LOST_TO_RETURN</t>
  </si>
  <si>
    <t xml:space="preserve">시야를 잃은 뒤 복귀까지</t>
  </si>
  <si>
    <t xml:space="preserve">HID_CHECK_INTERVAL</t>
  </si>
  <si>
    <t xml:space="preserve">노출 판정 주기</t>
  </si>
  <si>
    <r>
      <rPr>
        <sz val="10"/>
        <color rgb="FF808080"/>
        <rFont val="Arial"/>
        <family val="0"/>
        <charset val="1"/>
      </rPr>
      <t xml:space="preserve">9/29: </t>
    </r>
    <r>
      <rPr>
        <sz val="10"/>
        <color rgb="FF808080"/>
        <rFont val="Noto Sans CJK SC"/>
        <family val="2"/>
      </rPr>
      <t xml:space="preserve">은신 판정 삭제</t>
    </r>
  </si>
  <si>
    <t xml:space="preserve">GAM_CHECKPOINTS</t>
  </si>
  <si>
    <t xml:space="preserve">체크포인트 수</t>
  </si>
  <si>
    <r>
      <rPr>
        <sz val="10"/>
        <color rgb="FF808080"/>
        <rFont val="Arial"/>
        <family val="0"/>
        <charset val="1"/>
      </rPr>
      <t xml:space="preserve">9/29: </t>
    </r>
    <r>
      <rPr>
        <sz val="10"/>
        <color rgb="FF808080"/>
        <rFont val="Noto Sans CJK SC"/>
        <family val="2"/>
      </rPr>
      <t xml:space="preserve">저장 삭제</t>
    </r>
    <r>
      <rPr>
        <sz val="10"/>
        <color rgb="FF808080"/>
        <rFont val="Arial"/>
        <family val="0"/>
        <charset val="1"/>
      </rPr>
      <t xml:space="preserve">. GAM_ZONE_SIGNS</t>
    </r>
    <r>
      <rPr>
        <sz val="10"/>
        <color rgb="FF808080"/>
        <rFont val="Noto Sans CJK SC"/>
        <family val="2"/>
      </rPr>
      <t xml:space="preserve">로 대체</t>
    </r>
  </si>
  <si>
    <r>
      <rPr>
        <b val="true"/>
        <sz val="10"/>
        <color rgb="FFFFFFFF"/>
        <rFont val="Noto Sans CJK SC"/>
        <family val="2"/>
      </rPr>
      <t xml:space="preserve">종류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</si>
  <si>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이름</t>
  </si>
  <si>
    <r>
      <rPr>
        <b val="true"/>
        <sz val="10"/>
        <color rgb="FFFFFFFF"/>
        <rFont val="Noto Sans CJK SC"/>
        <family val="2"/>
      </rPr>
      <t xml:space="preserve">증가량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</si>
  <si>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젤리 크기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</si>
  <si>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젤리 반지름 </t>
    </r>
    <r>
      <rPr>
        <b val="true"/>
        <sz val="10"/>
        <color rgb="FFFFFFFF"/>
        <rFont val="Arial"/>
        <family val="0"/>
        <charset val="1"/>
      </rPr>
      <t xml:space="preserve">(u)</t>
    </r>
  </si>
  <si>
    <t xml:space="preserve">연결 젤리 외형</t>
  </si>
  <si>
    <t xml:space="preserve">배치 지침</t>
  </si>
  <si>
    <t xml:space="preserve">Fruit</t>
  </si>
  <si>
    <t xml:space="preserve">과일 조각</t>
  </si>
  <si>
    <r>
      <rPr>
        <sz val="10"/>
        <color rgb="FF000000"/>
        <rFont val="Noto Sans CJK SC"/>
        <family val="2"/>
      </rPr>
      <t xml:space="preserve">과일색 몸체와 작은 잎 장식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색 변형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빨강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</si>
  <si>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가장 흔함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초반과 위험 근처 미끼</t>
    </r>
  </si>
  <si>
    <t xml:space="preserve">Bread</t>
  </si>
  <si>
    <t xml:space="preserve">빵 조각</t>
  </si>
  <si>
    <r>
      <rPr>
        <sz val="10"/>
        <color rgb="FF000000"/>
        <rFont val="Noto Sans CJK SC"/>
        <family val="2"/>
      </rPr>
      <t xml:space="preserve">노란색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갈색 몸체와 둥근 토핑</t>
    </r>
  </si>
  <si>
    <t xml:space="preserve">Cheese</t>
  </si>
  <si>
    <t xml:space="preserve">치즈 조각</t>
  </si>
  <si>
    <t xml:space="preserve">노란색 몸체와 치즈 무늬</t>
  </si>
  <si>
    <t xml:space="preserve">유제품 구역 중심</t>
  </si>
  <si>
    <t xml:space="preserve">Cookie</t>
  </si>
  <si>
    <t xml:space="preserve">쿠키</t>
  </si>
  <si>
    <t xml:space="preserve">갈색 몸체와 초코칩 무늬</t>
  </si>
  <si>
    <t xml:space="preserve">과자 구역 중심</t>
  </si>
  <si>
    <t xml:space="preserve">Cake</t>
  </si>
  <si>
    <t xml:space="preserve">케이크 조각</t>
  </si>
  <si>
    <t xml:space="preserve">크림색 몸체와 딸기 장식</t>
  </si>
  <si>
    <r>
      <rPr>
        <sz val="10"/>
        <color rgb="FF000000"/>
        <rFont val="Noto Sans CJK SC"/>
        <family val="2"/>
      </rPr>
      <t xml:space="preserve">드물게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한 판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개</t>
    </r>
  </si>
  <si>
    <r>
      <rPr>
        <i val="true"/>
        <sz val="10"/>
        <color rgb="FF595959"/>
        <rFont val="Noto Sans CJK SC"/>
        <family val="2"/>
      </rPr>
      <t xml:space="preserve">증가량</t>
    </r>
    <r>
      <rPr>
        <i val="true"/>
        <sz val="10"/>
        <color rgb="FF595959"/>
        <rFont val="Arial"/>
        <family val="0"/>
        <charset val="1"/>
      </rPr>
      <t xml:space="preserve">(C</t>
    </r>
    <r>
      <rPr>
        <i val="true"/>
        <sz val="10"/>
        <color rgb="FF595959"/>
        <rFont val="Noto Sans CJK SC"/>
        <family val="2"/>
      </rPr>
      <t xml:space="preserve">열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은 기획서 </t>
    </r>
    <r>
      <rPr>
        <i val="true"/>
        <sz val="10"/>
        <color rgb="FF595959"/>
        <rFont val="Arial"/>
        <family val="0"/>
        <charset val="1"/>
      </rPr>
      <t xml:space="preserve">03</t>
    </r>
    <r>
      <rPr>
        <i val="true"/>
        <sz val="10"/>
        <color rgb="FF595959"/>
        <rFont val="Noto Sans CJK SC"/>
        <family val="2"/>
      </rPr>
      <t xml:space="preserve">장 값이다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바꾸면 음식배치 시트 합계와 </t>
    </r>
    <r>
      <rPr>
        <i val="true"/>
        <sz val="10"/>
        <color rgb="FF595959"/>
        <rFont val="Arial"/>
        <family val="0"/>
        <charset val="1"/>
      </rPr>
      <t xml:space="preserve">90cm </t>
    </r>
    <r>
      <rPr>
        <i val="true"/>
        <sz val="10"/>
        <color rgb="FF595959"/>
        <rFont val="Noto Sans CJK SC"/>
        <family val="2"/>
      </rPr>
      <t xml:space="preserve">검사가 함께 바뀐다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</si>
  <si>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역할</t>
  </si>
  <si>
    <t xml:space="preserve">새 위험</t>
  </si>
  <si>
    <t xml:space="preserve">다시 나오는 위험</t>
  </si>
  <si>
    <t xml:space="preserve">구역 안내판</t>
  </si>
  <si>
    <t xml:space="preserve">보충 지점</t>
  </si>
  <si>
    <t xml:space="preserve">은신처</t>
  </si>
  <si>
    <r>
      <rPr>
        <b val="true"/>
        <sz val="10"/>
        <color rgb="FFFFFFFF"/>
        <rFont val="Noto Sans CJK SC"/>
        <family val="2"/>
      </rPr>
      <t xml:space="preserve">목표 시간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</si>
  <si>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음식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</si>
  <si>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입장 길이</t>
  </si>
  <si>
    <t xml:space="preserve">퇴장 길이</t>
  </si>
  <si>
    <r>
      <rPr>
        <b val="true"/>
        <sz val="10"/>
        <color rgb="FFFFFFFF"/>
        <rFont val="Noto Sans CJK SC"/>
        <family val="2"/>
      </rPr>
      <t xml:space="preserve">크기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타일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</si>
  <si>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범위 </t>
    </r>
    <r>
      <rPr>
        <b val="true"/>
        <sz val="10"/>
        <color rgb="FFFFFFFF"/>
        <rFont val="Arial"/>
        <family val="0"/>
        <charset val="1"/>
      </rPr>
      <t xml:space="preserve">(x, z)</t>
    </r>
  </si>
  <si>
    <t xml:space="preserve">Z0</t>
  </si>
  <si>
    <r>
      <rPr>
        <sz val="10"/>
        <color rgb="FF000000"/>
        <rFont val="Noto Sans CJK SC"/>
        <family val="2"/>
      </rPr>
      <t xml:space="preserve">창고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튜토리얼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</si>
  <si>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이동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먹기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점프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기분 표현 학습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</si>
  <si>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없음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</si>
  <si>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연습 바구니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</si>
  <si>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10 (</t>
    </r>
    <r>
      <rPr>
        <sz val="10"/>
        <color rgb="FF000000"/>
        <rFont val="Noto Sans CJK SC"/>
        <family val="2"/>
      </rPr>
      <t xml:space="preserve">초기화</t>
    </r>
    <r>
      <rPr>
        <sz val="10"/>
        <color rgb="FF000000"/>
        <rFont val="Arial"/>
        <family val="0"/>
        <charset val="1"/>
      </rPr>
      <t xml:space="preserve">)</t>
    </r>
  </si>
  <si>
    <t xml:space="preserve">10×13</t>
  </si>
  <si>
    <t xml:space="preserve">0~10, 0~13</t>
  </si>
  <si>
    <t xml:space="preserve">Z1</t>
  </si>
  <si>
    <r>
      <rPr>
        <sz val="10"/>
        <color rgb="FF000000"/>
        <rFont val="Noto Sans CJK SC"/>
        <family val="2"/>
      </rPr>
      <t xml:space="preserve">과일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야채</t>
    </r>
  </si>
  <si>
    <t xml:space="preserve">꼬리 경로와 쉬운 먹기</t>
  </si>
  <si>
    <r>
      <rPr>
        <sz val="10"/>
        <color rgb="FF000000"/>
        <rFont val="Noto Sans CJK SC"/>
        <family val="2"/>
      </rPr>
      <t xml:space="preserve">굴러다니는 과일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과일 무더기</t>
    </r>
  </si>
  <si>
    <t xml:space="preserve">ZS1</t>
  </si>
  <si>
    <t xml:space="preserve">SP1</t>
  </si>
  <si>
    <r>
      <rPr>
        <sz val="10"/>
        <color rgb="FF000000"/>
        <rFont val="Noto Sans CJK SC"/>
        <family val="2"/>
      </rPr>
      <t xml:space="preserve">작은 </t>
    </r>
    <r>
      <rPr>
        <sz val="10"/>
        <color rgb="FF000000"/>
        <rFont val="Arial"/>
        <family val="0"/>
        <charset val="1"/>
      </rPr>
      <t xml:space="preserve">1</t>
    </r>
  </si>
  <si>
    <t xml:space="preserve">24×13</t>
  </si>
  <si>
    <t xml:space="preserve">10~34, 0~13</t>
  </si>
  <si>
    <t xml:space="preserve">Z2</t>
  </si>
  <si>
    <t xml:space="preserve">과자 코너</t>
  </si>
  <si>
    <t xml:space="preserve">세일 붕괴와 경로 선택</t>
  </si>
  <si>
    <r>
      <rPr>
        <sz val="10"/>
        <color rgb="FF000000"/>
        <rFont val="Noto Sans CJK SC"/>
        <family val="2"/>
      </rPr>
      <t xml:space="preserve">세일 매대 붕괴 </t>
    </r>
    <r>
      <rPr>
        <sz val="10"/>
        <color rgb="FF000000"/>
        <rFont val="Arial"/>
        <family val="0"/>
        <charset val="1"/>
      </rPr>
      <t xml:space="preserve">(5</t>
    </r>
    <r>
      <rPr>
        <sz val="10"/>
        <color rgb="FF000000"/>
        <rFont val="Noto Sans CJK SC"/>
        <family val="2"/>
      </rPr>
      <t xml:space="preserve">곳</t>
    </r>
    <r>
      <rPr>
        <sz val="10"/>
        <color rgb="FF000000"/>
        <rFont val="Arial"/>
        <family val="0"/>
        <charset val="1"/>
      </rPr>
      <t xml:space="preserve">)</t>
    </r>
  </si>
  <si>
    <t xml:space="preserve">ZS2</t>
  </si>
  <si>
    <t xml:space="preserve">SP2</t>
  </si>
  <si>
    <r>
      <rPr>
        <sz val="10"/>
        <color rgb="FF000000"/>
        <rFont val="Noto Sans CJK SC"/>
        <family val="2"/>
      </rPr>
      <t xml:space="preserve">작은 </t>
    </r>
    <r>
      <rPr>
        <sz val="10"/>
        <color rgb="FF000000"/>
        <rFont val="Arial"/>
        <family val="0"/>
        <charset val="1"/>
      </rPr>
      <t xml:space="preserve">2</t>
    </r>
  </si>
  <si>
    <t xml:space="preserve">17×14</t>
  </si>
  <si>
    <t xml:space="preserve">17~34, 13~27</t>
  </si>
  <si>
    <t xml:space="preserve">Z3</t>
  </si>
  <si>
    <r>
      <rPr>
        <sz val="10"/>
        <color rgb="FF000000"/>
        <rFont val="Noto Sans CJK SC"/>
        <family val="2"/>
      </rPr>
      <t xml:space="preserve">음료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유제품</t>
    </r>
  </si>
  <si>
    <r>
      <rPr>
        <sz val="10"/>
        <color rgb="FF000000"/>
        <rFont val="Noto Sans CJK SC"/>
        <family val="2"/>
      </rPr>
      <t xml:space="preserve">직원 사이 횡단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청소기 첫 등장</t>
    </r>
  </si>
  <si>
    <r>
      <rPr>
        <sz val="10"/>
        <color rgb="FF000000"/>
        <rFont val="Noto Sans CJK SC"/>
        <family val="2"/>
      </rPr>
      <t xml:space="preserve">직원 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쏟은 음료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청소기</t>
    </r>
  </si>
  <si>
    <r>
      <rPr>
        <sz val="10"/>
        <color rgb="FF000000"/>
        <rFont val="Noto Sans CJK SC"/>
        <family val="2"/>
      </rPr>
      <t xml:space="preserve">굴러다니는 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세일 매대 </t>
    </r>
    <r>
      <rPr>
        <sz val="10"/>
        <color rgb="FF000000"/>
        <rFont val="Arial"/>
        <family val="0"/>
        <charset val="1"/>
      </rPr>
      <t xml:space="preserve">1</t>
    </r>
  </si>
  <si>
    <t xml:space="preserve">ZS3</t>
  </si>
  <si>
    <t xml:space="preserve">SP3</t>
  </si>
  <si>
    <r>
      <rPr>
        <sz val="10"/>
        <color rgb="FF000000"/>
        <rFont val="Noto Sans CJK SC"/>
        <family val="2"/>
      </rPr>
      <t xml:space="preserve">긴 </t>
    </r>
    <r>
      <rPr>
        <sz val="10"/>
        <color rgb="FF000000"/>
        <rFont val="Arial"/>
        <family val="0"/>
        <charset val="1"/>
      </rPr>
      <t xml:space="preserve">1 + </t>
    </r>
    <r>
      <rPr>
        <sz val="10"/>
        <color rgb="FF000000"/>
        <rFont val="Noto Sans CJK SC"/>
        <family val="2"/>
      </rPr>
      <t xml:space="preserve">작은 </t>
    </r>
    <r>
      <rPr>
        <sz val="10"/>
        <color rgb="FF000000"/>
        <rFont val="Arial"/>
        <family val="0"/>
        <charset val="1"/>
      </rPr>
      <t xml:space="preserve">1</t>
    </r>
  </si>
  <si>
    <t xml:space="preserve">0~17, 13~27</t>
  </si>
  <si>
    <t xml:space="preserve">Z4</t>
  </si>
  <si>
    <t xml:space="preserve">아이스크림</t>
  </si>
  <si>
    <t xml:space="preserve">청소기와 바닥 방해</t>
  </si>
  <si>
    <r>
      <rPr>
        <sz val="10"/>
        <color rgb="FF000000"/>
        <rFont val="Noto Sans CJK SC"/>
        <family val="2"/>
      </rPr>
      <t xml:space="preserve">녹은 아이스크림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얼음</t>
    </r>
  </si>
  <si>
    <r>
      <rPr>
        <sz val="10"/>
        <color rgb="FF000000"/>
        <rFont val="Noto Sans CJK SC"/>
        <family val="2"/>
      </rPr>
      <t xml:space="preserve">청소기 </t>
    </r>
    <r>
      <rPr>
        <sz val="10"/>
        <color rgb="FF000000"/>
        <rFont val="Arial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직원 </t>
    </r>
    <r>
      <rPr>
        <sz val="10"/>
        <color rgb="FF000000"/>
        <rFont val="Arial"/>
        <family val="0"/>
        <charset val="1"/>
      </rPr>
      <t xml:space="preserve">1</t>
    </r>
  </si>
  <si>
    <t xml:space="preserve">ZS4</t>
  </si>
  <si>
    <t xml:space="preserve">SP4</t>
  </si>
  <si>
    <r>
      <rPr>
        <sz val="10"/>
        <color rgb="FF000000"/>
        <rFont val="Noto Sans CJK SC"/>
        <family val="2"/>
      </rPr>
      <t xml:space="preserve">긴 </t>
    </r>
    <r>
      <rPr>
        <sz val="10"/>
        <color rgb="FF000000"/>
        <rFont val="Arial"/>
        <family val="0"/>
        <charset val="1"/>
      </rPr>
      <t xml:space="preserve">1</t>
    </r>
  </si>
  <si>
    <t xml:space="preserve">14×14</t>
  </si>
  <si>
    <t xml:space="preserve">0~14, 27~41</t>
  </si>
  <si>
    <t xml:space="preserve">Z5</t>
  </si>
  <si>
    <t xml:space="preserve">카운터</t>
  </si>
  <si>
    <t xml:space="preserve">모든 위험 조합</t>
  </si>
  <si>
    <r>
      <rPr>
        <sz val="10"/>
        <color rgb="FF000000"/>
        <rFont val="Noto Sans CJK SC"/>
        <family val="2"/>
      </rPr>
      <t xml:space="preserve">세일 </t>
    </r>
    <r>
      <rPr>
        <sz val="10"/>
        <color rgb="FF000000"/>
        <rFont val="Arial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직원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청소기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굴러다니는 물건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미끄럼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끈적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얼음</t>
    </r>
  </si>
  <si>
    <t xml:space="preserve">ZS5</t>
  </si>
  <si>
    <t xml:space="preserve">SP5</t>
  </si>
  <si>
    <t xml:space="preserve">14~28, 27~41</t>
  </si>
  <si>
    <t xml:space="preserve">Z6</t>
  </si>
  <si>
    <r>
      <rPr>
        <sz val="10"/>
        <color rgb="FF000000"/>
        <rFont val="Noto Sans CJK SC"/>
        <family val="2"/>
      </rPr>
      <t xml:space="preserve">출구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골 홀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</si>
  <si>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마지막 </t>
    </r>
    <r>
      <rPr>
        <sz val="10"/>
        <color rgb="FF000000"/>
        <rFont val="Arial"/>
        <family val="0"/>
        <charset val="1"/>
      </rPr>
      <t xml:space="preserve">1cm</t>
    </r>
    <r>
      <rPr>
        <sz val="10"/>
        <color rgb="FF000000"/>
        <rFont val="Noto Sans CJK SC"/>
        <family val="2"/>
      </rPr>
      <t xml:space="preserve">와 엔딩</t>
    </r>
  </si>
  <si>
    <r>
      <rPr>
        <sz val="10"/>
        <color rgb="FF000000"/>
        <rFont val="Arial"/>
        <family val="0"/>
        <charset val="1"/>
      </rPr>
      <t xml:space="preserve">— (</t>
    </r>
    <r>
      <rPr>
        <sz val="10"/>
        <color rgb="FF000000"/>
        <rFont val="Noto Sans CJK SC"/>
        <family val="2"/>
      </rPr>
      <t xml:space="preserve">위험 없음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</si>
  <si>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골 게이트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</si>
  <si>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최종 </t>
    </r>
    <r>
      <rPr>
        <sz val="10"/>
        <color rgb="FF000000"/>
        <rFont val="Arial"/>
        <family val="0"/>
        <charset val="1"/>
      </rPr>
      <t xml:space="preserve">1cm</t>
    </r>
  </si>
  <si>
    <t xml:space="preserve">6×14</t>
  </si>
  <si>
    <t xml:space="preserve">28~34, 27~41</t>
  </si>
  <si>
    <t xml:space="preserve">합계</t>
  </si>
  <si>
    <t xml:space="preserve">목표 시간 검사</t>
  </si>
  <si>
    <r>
      <rPr>
        <sz val="10"/>
        <color rgb="FF000000"/>
        <rFont val="Noto Sans CJK SC"/>
        <family val="2"/>
      </rPr>
      <t xml:space="preserve">음식</t>
    </r>
    <r>
      <rPr>
        <sz val="10"/>
        <color rgb="FF000000"/>
        <rFont val="Arial"/>
        <family val="0"/>
        <charset val="1"/>
      </rPr>
      <t xml:space="preserve">(cm)·</t>
    </r>
    <r>
      <rPr>
        <sz val="10"/>
        <color rgb="FF000000"/>
        <rFont val="Noto Sans CJK SC"/>
        <family val="2"/>
      </rPr>
      <t xml:space="preserve">입장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퇴장 길이는 음식배치 시트에서 자동으로 가져온다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초록</t>
    </r>
    <r>
      <rPr>
        <sz val="10"/>
        <color rgb="FF000000"/>
        <rFont val="Arial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목표 시간</t>
    </r>
    <r>
      <rPr>
        <sz val="10"/>
        <color rgb="FF000000"/>
        <rFont val="Arial"/>
        <family val="0"/>
        <charset val="1"/>
      </rPr>
      <t xml:space="preserve">(I</t>
    </r>
    <r>
      <rPr>
        <sz val="10"/>
        <color rgb="FF000000"/>
        <rFont val="Noto Sans CJK SC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노란 칸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</t>
    </r>
    <r>
      <rPr>
        <sz val="10"/>
        <color rgb="FF000000"/>
        <rFont val="Arial"/>
        <family val="0"/>
        <charset val="1"/>
      </rPr>
      <t xml:space="preserve">34×41 </t>
    </r>
    <r>
      <rPr>
        <sz val="10"/>
        <color rgb="FF000000"/>
        <rFont val="Noto Sans CJK SC"/>
        <family val="2"/>
      </rPr>
      <t xml:space="preserve">맵으로 줄인 뒤 다시 재서 넣는다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창고 음식은 튜토리얼 전용이라 본게임 합계에서 빠진다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</si>
  <si>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위험 마커 총 </t>
    </r>
    <r>
      <rPr>
        <sz val="10"/>
        <color rgb="FF000000"/>
        <rFont val="Arial"/>
        <family val="0"/>
        <charset val="1"/>
      </rPr>
      <t xml:space="preserve">34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: Z1 2 · Z2 5 · Z3 9 · Z4 8 · Z5 10 · Z6 0. </t>
    </r>
    <r>
      <rPr>
        <sz val="10"/>
        <color rgb="FF000000"/>
        <rFont val="Noto Sans CJK SC"/>
        <family val="2"/>
      </rPr>
      <t xml:space="preserve">상세 좌표는 레벨 문서 </t>
    </r>
    <r>
      <rPr>
        <sz val="10"/>
        <color rgb="FF000000"/>
        <rFont val="Arial"/>
        <family val="0"/>
        <charset val="1"/>
      </rPr>
      <t xml:space="preserve">v0.2.</t>
    </r>
  </si>
  <si>
    <r>
      <rPr>
        <b val="true"/>
        <sz val="12"/>
        <rFont val="Arial"/>
        <family val="0"/>
        <charset val="1"/>
      </rPr>
      <t xml:space="preserve">A. </t>
    </r>
    <r>
      <rPr>
        <b val="true"/>
        <sz val="12"/>
        <rFont val="Noto Sans CJK SC"/>
        <family val="2"/>
      </rPr>
      <t xml:space="preserve">배치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그레이박스 </t>
    </r>
    <r>
      <rPr>
        <b val="true"/>
        <sz val="12"/>
        <rFont val="Arial"/>
        <family val="0"/>
        <charset val="1"/>
      </rPr>
      <t xml:space="preserve">Level_Main, 7</t>
    </r>
    <r>
      <rPr>
        <b val="true"/>
        <sz val="12"/>
        <rFont val="Noto Sans CJK SC"/>
        <family val="2"/>
      </rPr>
      <t xml:space="preserve">구역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</si>
  <si>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노란 칸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개수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목표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만 고친다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증가량은 음식종류 시트에서 가져온다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</si>
  <si>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3cm</t>
  </si>
  <si>
    <t xml:space="preserve">4cm</t>
  </si>
  <si>
    <t xml:space="preserve">5cm</t>
  </si>
  <si>
    <t xml:space="preserve">6cm</t>
  </si>
  <si>
    <t xml:space="preserve">8cm</t>
  </si>
  <si>
    <t xml:space="preserve">개수</t>
  </si>
  <si>
    <r>
      <rPr>
        <b val="true"/>
        <sz val="10"/>
        <color rgb="FFFFFFFF"/>
        <rFont val="Noto Sans CJK SC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(cm)</t>
    </r>
  </si>
  <si>
    <r>
      <rPr>
        <b val="true"/>
        <sz val="10"/>
        <color rgb="FFFFFFFF"/>
        <rFont val="Noto Sans CJK SC"/>
        <family val="2"/>
      </rPr>
      <t xml:space="preserve">목표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</si>
  <si>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차이</t>
  </si>
  <si>
    <t xml:space="preserve">목록 합계 검사</t>
  </si>
  <si>
    <r>
      <rPr>
        <b val="true"/>
        <sz val="10"/>
        <color rgb="FF000000"/>
        <rFont val="Noto Sans CJK SC"/>
        <family val="2"/>
      </rPr>
      <t xml:space="preserve">증가량 </t>
    </r>
    <r>
      <rPr>
        <b val="true"/>
        <sz val="10"/>
        <color rgb="FF000000"/>
        <rFont val="Arial"/>
        <family val="0"/>
        <charset val="1"/>
      </rPr>
      <t xml:space="preserve">(cm)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</si>
  <si>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초기화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</si>
  <si>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본게임 합계 </t>
    </r>
    <r>
      <rPr>
        <b val="true"/>
        <sz val="10"/>
        <color rgb="FF000000"/>
        <rFont val="Arial"/>
        <family val="0"/>
        <charset val="1"/>
      </rPr>
      <t xml:space="preserve">(Z1~Z5)</t>
    </r>
  </si>
  <si>
    <t xml:space="preserve">검사</t>
  </si>
  <si>
    <r>
      <rPr>
        <sz val="10"/>
        <color rgb="FF000000"/>
        <rFont val="Noto Sans CJK SC"/>
        <family val="2"/>
      </rPr>
      <t xml:space="preserve">본게임 음식 합계 </t>
    </r>
    <r>
      <rPr>
        <sz val="10"/>
        <color rgb="FF000000"/>
        <rFont val="Arial"/>
        <family val="0"/>
        <charset val="1"/>
      </rPr>
      <t xml:space="preserve">= 90cm</t>
    </r>
  </si>
  <si>
    <r>
      <rPr>
        <sz val="10"/>
        <color rgb="FF000000"/>
        <rFont val="Noto Sans CJK SC"/>
        <family val="2"/>
      </rPr>
      <t xml:space="preserve">음식 개수 </t>
    </r>
    <r>
      <rPr>
        <sz val="10"/>
        <color rgb="FF000000"/>
        <rFont val="Arial"/>
        <family val="0"/>
        <charset val="1"/>
      </rPr>
      <t xml:space="preserve">18~30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</si>
  <si>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Noto Sans CJK SC"/>
        <family val="2"/>
      </rPr>
      <t xml:space="preserve">모두 먹으면 정확히 </t>
    </r>
    <r>
      <rPr>
        <sz val="10"/>
        <color rgb="FF000000"/>
        <rFont val="Arial"/>
        <family val="0"/>
        <charset val="1"/>
      </rPr>
      <t xml:space="preserve">100cm</t>
    </r>
  </si>
  <si>
    <r>
      <rPr>
        <sz val="10"/>
        <color rgb="FF000000"/>
        <rFont val="Noto Sans CJK SC"/>
        <family val="2"/>
      </rPr>
      <t xml:space="preserve">최대 일반 젤리 ≤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마리</t>
    </r>
  </si>
  <si>
    <r>
      <rPr>
        <sz val="10"/>
        <color rgb="FF000000"/>
        <rFont val="Noto Sans CJK SC"/>
        <family val="2"/>
      </rPr>
      <t xml:space="preserve">평균 증가량 </t>
    </r>
    <r>
      <rPr>
        <sz val="10"/>
        <color rgb="FF000000"/>
        <rFont val="Arial"/>
        <family val="0"/>
        <charset val="1"/>
      </rPr>
      <t xml:space="preserve">3~5cm</t>
    </r>
  </si>
  <si>
    <r>
      <rPr>
        <sz val="10"/>
        <color rgb="FF000000"/>
        <rFont val="Noto Sans CJK SC"/>
        <family val="2"/>
      </rPr>
      <t xml:space="preserve">평균 증가량 </t>
    </r>
    <r>
      <rPr>
        <sz val="10"/>
        <color rgb="FF000000"/>
        <rFont val="Arial"/>
        <family val="0"/>
        <charset val="1"/>
      </rPr>
      <t xml:space="preserve">(cm)</t>
    </r>
  </si>
  <si>
    <r>
      <rPr>
        <sz val="11"/>
        <color theme="1"/>
        <rFont val="Noto Sans CJK SC"/>
        <family val="2"/>
      </rPr>
      <t xml:space="preserve">높은 곳 음식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점프 필요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</si>
  <si>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개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창고 연습 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개 별도</t>
    </r>
    <r>
      <rPr>
        <sz val="11"/>
        <color theme="1"/>
        <rFont val="Arial"/>
        <family val="0"/>
        <charset val="1"/>
      </rPr>
      <t xml:space="preserve">)</t>
    </r>
  </si>
  <si>
    <r>
      <rPr>
        <b val="true"/>
        <sz val="12"/>
        <rFont val="Arial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개별 음식 목록 </t>
    </r>
    <r>
      <rPr>
        <b val="true"/>
        <sz val="12"/>
        <rFont val="Arial"/>
        <family val="0"/>
        <charset val="1"/>
      </rPr>
      <t xml:space="preserve">(Level_Main </t>
    </r>
    <r>
      <rPr>
        <b val="true"/>
        <sz val="12"/>
        <rFont val="Noto Sans CJK SC"/>
        <family val="2"/>
      </rPr>
      <t xml:space="preserve">배치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레벨 문서 </t>
    </r>
    <r>
      <rPr>
        <b val="true"/>
        <sz val="12"/>
        <rFont val="Arial"/>
        <family val="0"/>
        <charset val="1"/>
      </rPr>
      <t xml:space="preserve">v0.2)</t>
    </r>
  </si>
  <si>
    <r>
      <rPr>
        <b val="true"/>
        <sz val="10"/>
        <color rgb="FFFFFFFF"/>
        <rFont val="Noto Sans CJK SC"/>
        <family val="2"/>
      </rPr>
      <t xml:space="preserve">음식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</si>
  <si>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종류</t>
  </si>
  <si>
    <t xml:space="preserve">위치 메모</t>
  </si>
  <si>
    <t xml:space="preserve">위험 근처</t>
  </si>
  <si>
    <t xml:space="preserve">x</t>
  </si>
  <si>
    <r>
      <rPr>
        <b val="true"/>
        <sz val="10"/>
        <color rgb="FFFFFFFF"/>
        <rFont val="Noto Sans CJK SC"/>
        <family val="2"/>
      </rPr>
      <t xml:space="preserve">높이 </t>
    </r>
    <r>
      <rPr>
        <b val="true"/>
        <sz val="10"/>
        <color rgb="FFFFFFFF"/>
        <rFont val="Arial"/>
        <family val="0"/>
        <charset val="1"/>
      </rPr>
      <t xml:space="preserve">(u)</t>
    </r>
  </si>
  <si>
    <t xml:space="preserve">z</t>
  </si>
  <si>
    <t xml:space="preserve">F-Z0-01</t>
  </si>
  <si>
    <t xml:space="preserve">출발 지점 앞 바닥</t>
  </si>
  <si>
    <t xml:space="preserve">검증됨</t>
  </si>
  <si>
    <t xml:space="preserve">F-Z0-02</t>
  </si>
  <si>
    <t xml:space="preserve">팔레트 아래</t>
  </si>
  <si>
    <t xml:space="preserve">F-Z0-03</t>
  </si>
  <si>
    <r>
      <rPr>
        <sz val="10"/>
        <color rgb="FF0000FF"/>
        <rFont val="Noto Sans CJK SC"/>
        <family val="2"/>
      </rPr>
      <t xml:space="preserve">점프 연습 상자</t>
    </r>
    <r>
      <rPr>
        <sz val="10"/>
        <color rgb="FF0000FF"/>
        <rFont val="Arial"/>
        <family val="0"/>
        <charset val="1"/>
      </rPr>
      <t xml:space="preserve">(0.5 → 1.0) </t>
    </r>
    <r>
      <rPr>
        <sz val="10"/>
        <color rgb="FF0000FF"/>
        <rFont val="Noto Sans CJK SC"/>
        <family val="2"/>
      </rPr>
      <t xml:space="preserve">위</t>
    </r>
  </si>
  <si>
    <t xml:space="preserve">F-Z0-04</t>
  </si>
  <si>
    <t xml:space="preserve">연습용 바구니 안</t>
  </si>
  <si>
    <t xml:space="preserve">F-Z1-01</t>
  </si>
  <si>
    <r>
      <rPr>
        <sz val="10"/>
        <color rgb="FF0000FF"/>
        <rFont val="Noto Sans CJK SC"/>
        <family val="2"/>
      </rPr>
      <t xml:space="preserve">입구 바닥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쉬움</t>
    </r>
    <r>
      <rPr>
        <sz val="10"/>
        <color rgb="FF0000FF"/>
        <rFont val="Arial"/>
        <family val="0"/>
        <charset val="1"/>
      </rPr>
      <t xml:space="preserve">)</t>
    </r>
  </si>
  <si>
    <t xml:space="preserve">F-Z1-02</t>
  </si>
  <si>
    <r>
      <rPr>
        <sz val="10"/>
        <color rgb="FF0000FF"/>
        <rFont val="Noto Sans CJK SC"/>
        <family val="2"/>
      </rPr>
      <t xml:space="preserve">진열 테이블 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</t>
    </r>
    <r>
      <rPr>
        <sz val="10"/>
        <color rgb="FF0000FF"/>
        <rFont val="Arial"/>
        <family val="0"/>
        <charset val="1"/>
      </rPr>
      <t xml:space="preserve">)</t>
    </r>
  </si>
  <si>
    <t xml:space="preserve">F-Z1-03</t>
  </si>
  <si>
    <t xml:space="preserve">테이블 아래</t>
  </si>
  <si>
    <t xml:space="preserve">F-Z1-04</t>
  </si>
  <si>
    <t xml:space="preserve">과일 무더기 레인 옆</t>
  </si>
  <si>
    <t xml:space="preserve">예</t>
  </si>
  <si>
    <t xml:space="preserve">F-Z1-05</t>
  </si>
  <si>
    <r>
      <rPr>
        <sz val="10"/>
        <color rgb="FF0000FF"/>
        <rFont val="Noto Sans CJK SC"/>
        <family val="2"/>
      </rPr>
      <t xml:space="preserve">과일 언덕 꼭대기 </t>
    </r>
    <r>
      <rPr>
        <sz val="10"/>
        <color rgb="FF0000FF"/>
        <rFont val="Arial"/>
        <family val="0"/>
        <charset val="1"/>
      </rPr>
      <t xml:space="preserve">(0.5 → 1.0)</t>
    </r>
  </si>
  <si>
    <t xml:space="preserve">F-Z2-01</t>
  </si>
  <si>
    <r>
      <rPr>
        <sz val="10"/>
        <color rgb="FF0000FF"/>
        <rFont val="Noto Sans CJK SC"/>
        <family val="2"/>
      </rPr>
      <t xml:space="preserve">북쪽 통로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바깥길</t>
    </r>
    <r>
      <rPr>
        <sz val="10"/>
        <color rgb="FF0000FF"/>
        <rFont val="Arial"/>
        <family val="0"/>
        <charset val="1"/>
      </rPr>
      <t xml:space="preserve">)</t>
    </r>
  </si>
  <si>
    <t xml:space="preserve">F-Z2-02</t>
  </si>
  <si>
    <r>
      <rPr>
        <sz val="10"/>
        <color rgb="FF0000FF"/>
        <rFont val="Noto Sans CJK SC"/>
        <family val="2"/>
      </rPr>
      <t xml:space="preserve">중앙 행사 매대 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붕괴 두 곳 사이</t>
    </r>
    <r>
      <rPr>
        <sz val="10"/>
        <color rgb="FF0000FF"/>
        <rFont val="Arial"/>
        <family val="0"/>
        <charset val="1"/>
      </rPr>
      <t xml:space="preserve">)</t>
    </r>
  </si>
  <si>
    <t xml:space="preserve">F-Z2-03</t>
  </si>
  <si>
    <t xml:space="preserve">카트 아래</t>
  </si>
  <si>
    <t xml:space="preserve">F-Z2-04</t>
  </si>
  <si>
    <t xml:space="preserve">엔드캡 바구니 안</t>
  </si>
  <si>
    <t xml:space="preserve">F-Z2-05</t>
  </si>
  <si>
    <r>
      <rPr>
        <sz val="10"/>
        <color rgb="FF0000FF"/>
        <rFont val="Noto Sans CJK SC"/>
        <family val="2"/>
      </rPr>
      <t xml:space="preserve">계단 진열대 꼭대기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</t>
    </r>
    <r>
      <rPr>
        <sz val="10"/>
        <color rgb="FF0000FF"/>
        <rFont val="Arial"/>
        <family val="0"/>
        <charset val="1"/>
      </rPr>
      <t xml:space="preserve">)</t>
    </r>
  </si>
  <si>
    <t xml:space="preserve">F-Z3-01</t>
  </si>
  <si>
    <t xml:space="preserve">냉장고 옆 구석</t>
  </si>
  <si>
    <t xml:space="preserve">F-Z3-02</t>
  </si>
  <si>
    <t xml:space="preserve">은신 통로 입구 앞</t>
  </si>
  <si>
    <t xml:space="preserve">F-Z3-03</t>
  </si>
  <si>
    <t xml:space="preserve">직원 순찰 안쪽</t>
  </si>
  <si>
    <t xml:space="preserve">F-Z3-04</t>
  </si>
  <si>
    <t xml:space="preserve">긴 은신 통로 가운데</t>
  </si>
  <si>
    <t xml:space="preserve">F-Z3-05</t>
  </si>
  <si>
    <r>
      <rPr>
        <sz val="10"/>
        <color rgb="FF0000FF"/>
        <rFont val="Noto Sans CJK SC"/>
        <family val="2"/>
      </rPr>
      <t xml:space="preserve">음료 팔레트 꼭대기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</t>
    </r>
    <r>
      <rPr>
        <sz val="10"/>
        <color rgb="FF0000FF"/>
        <rFont val="Arial"/>
        <family val="0"/>
        <charset val="1"/>
      </rPr>
      <t xml:space="preserve">)</t>
    </r>
  </si>
  <si>
    <t xml:space="preserve">F-Z4-01</t>
  </si>
  <si>
    <t xml:space="preserve">청소기 경로 끝 구석</t>
  </si>
  <si>
    <t xml:space="preserve">F-Z4-02</t>
  </si>
  <si>
    <t xml:space="preserve">녹은 아이스크림 웅덩이 안</t>
  </si>
  <si>
    <t xml:space="preserve">F-Z4-03</t>
  </si>
  <si>
    <r>
      <rPr>
        <sz val="10"/>
        <color rgb="FF0000FF"/>
        <rFont val="Noto Sans CJK SC"/>
        <family val="2"/>
      </rPr>
      <t xml:space="preserve">냉동고 </t>
    </r>
    <r>
      <rPr>
        <sz val="10"/>
        <color rgb="FF0000FF"/>
        <rFont val="Arial"/>
        <family val="0"/>
        <charset val="1"/>
      </rPr>
      <t xml:space="preserve">D </t>
    </r>
    <r>
      <rPr>
        <sz val="10"/>
        <color rgb="FF0000FF"/>
        <rFont val="Noto Sans CJK SC"/>
        <family val="2"/>
      </rPr>
      <t xml:space="preserve">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</t>
    </r>
    <r>
      <rPr>
        <sz val="10"/>
        <color rgb="FF0000FF"/>
        <rFont val="Arial"/>
        <family val="0"/>
        <charset val="1"/>
      </rPr>
      <t xml:space="preserve">)</t>
    </r>
  </si>
  <si>
    <t xml:space="preserve">F-Z4-04</t>
  </si>
  <si>
    <r>
      <rPr>
        <sz val="10"/>
        <color rgb="FF0000FF"/>
        <rFont val="Noto Sans CJK SC"/>
        <family val="2"/>
      </rPr>
      <t xml:space="preserve">콘 진열대 꼭대기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</t>
    </r>
    <r>
      <rPr>
        <sz val="10"/>
        <color rgb="FF0000FF"/>
        <rFont val="Arial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한 판 유일</t>
    </r>
    <r>
      <rPr>
        <sz val="10"/>
        <color rgb="FF0000FF"/>
        <rFont val="Arial"/>
        <family val="0"/>
        <charset val="1"/>
      </rPr>
      <t xml:space="preserve">)</t>
    </r>
  </si>
  <si>
    <t xml:space="preserve">F-Z5-01</t>
  </si>
  <si>
    <r>
      <rPr>
        <sz val="10"/>
        <color rgb="FF0000FF"/>
        <rFont val="Noto Sans CJK SC"/>
        <family val="2"/>
      </rPr>
      <t xml:space="preserve">벨트 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움직임</t>
    </r>
    <r>
      <rPr>
        <sz val="10"/>
        <color rgb="FF0000FF"/>
        <rFont val="Arial"/>
        <family val="0"/>
        <charset val="1"/>
      </rPr>
      <t xml:space="preserve">)</t>
    </r>
  </si>
  <si>
    <t xml:space="preserve">F-Z5-02</t>
  </si>
  <si>
    <t xml:space="preserve">F-Z5-03</t>
  </si>
  <si>
    <r>
      <rPr>
        <sz val="10"/>
        <color rgb="FF0000FF"/>
        <rFont val="Noto Sans CJK SC"/>
        <family val="2"/>
      </rPr>
      <t xml:space="preserve">계산대 </t>
    </r>
    <r>
      <rPr>
        <sz val="10"/>
        <color rgb="FF0000FF"/>
        <rFont val="Arial"/>
        <family val="0"/>
        <charset val="1"/>
      </rPr>
      <t xml:space="preserve">K1 </t>
    </r>
    <r>
      <rPr>
        <sz val="10"/>
        <color rgb="FF0000FF"/>
        <rFont val="Noto Sans CJK SC"/>
        <family val="2"/>
      </rPr>
      <t xml:space="preserve">위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</t>
    </r>
    <r>
      <rPr>
        <sz val="10"/>
        <color rgb="FF0000FF"/>
        <rFont val="Arial"/>
        <family val="0"/>
        <charset val="1"/>
      </rPr>
      <t xml:space="preserve">)</t>
    </r>
  </si>
  <si>
    <t xml:space="preserve">F-Z5-04</t>
  </si>
  <si>
    <r>
      <rPr>
        <sz val="10"/>
        <color rgb="FF0000FF"/>
        <rFont val="Noto Sans CJK SC"/>
        <family val="2"/>
      </rPr>
      <t xml:space="preserve">가격표 탑 꼭대기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점프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번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</si>
  <si>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좌표 단위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타일</t>
    </r>
    <r>
      <rPr>
        <sz val="10"/>
        <color rgb="FF000000"/>
        <rFont val="Arial"/>
        <family val="0"/>
        <charset val="1"/>
      </rPr>
      <t xml:space="preserve">(u). </t>
    </r>
    <r>
      <rPr>
        <sz val="10"/>
        <color rgb="FF000000"/>
        <rFont val="Noto Sans CJK SC"/>
        <family val="2"/>
      </rPr>
      <t xml:space="preserve">원점은 창고 남서쪽 모서리</t>
    </r>
    <r>
      <rPr>
        <sz val="10"/>
        <color rgb="FF000000"/>
        <rFont val="Arial"/>
        <family val="0"/>
        <charset val="1"/>
      </rPr>
      <t xml:space="preserve">, x </t>
    </r>
    <r>
      <rPr>
        <sz val="10"/>
        <color rgb="FF000000"/>
        <rFont val="Noto Sans CJK SC"/>
        <family val="2"/>
      </rPr>
      <t xml:space="preserve">동쪽 </t>
    </r>
    <r>
      <rPr>
        <sz val="10"/>
        <color rgb="FF000000"/>
        <rFont val="Arial"/>
        <family val="0"/>
        <charset val="1"/>
      </rPr>
      <t xml:space="preserve">· z </t>
    </r>
    <r>
      <rPr>
        <sz val="10"/>
        <color rgb="FF000000"/>
        <rFont val="Noto Sans CJK SC"/>
        <family val="2"/>
      </rPr>
      <t xml:space="preserve">북쪽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높이 </t>
    </r>
    <r>
      <rPr>
        <sz val="10"/>
        <color rgb="FF000000"/>
        <rFont val="Arial"/>
        <family val="0"/>
        <charset val="1"/>
      </rPr>
      <t xml:space="preserve">0.95 = </t>
    </r>
    <r>
      <rPr>
        <sz val="10"/>
        <color rgb="FF000000"/>
        <rFont val="Noto Sans CJK SC"/>
        <family val="2"/>
      </rPr>
      <t xml:space="preserve">진열 테이블</t>
    </r>
    <r>
      <rPr>
        <sz val="10"/>
        <color rgb="FF000000"/>
        <rFont val="Arial"/>
        <family val="0"/>
        <charset val="1"/>
      </rPr>
      <t xml:space="preserve">, 1 = </t>
    </r>
    <r>
      <rPr>
        <sz val="10"/>
        <color rgb="FF000000"/>
        <rFont val="Noto Sans CJK SC"/>
        <family val="2"/>
      </rPr>
      <t xml:space="preserve">매대</t>
    </r>
    <r>
      <rPr>
        <sz val="10"/>
        <color rgb="FF000000"/>
        <rFont val="Arial"/>
        <family val="0"/>
        <charset val="1"/>
      </rPr>
      <t xml:space="preserve">(T1), 2 = </t>
    </r>
    <r>
      <rPr>
        <sz val="10"/>
        <color rgb="FF000000"/>
        <rFont val="Noto Sans CJK SC"/>
        <family val="2"/>
      </rPr>
      <t xml:space="preserve">높은 진열</t>
    </r>
    <r>
      <rPr>
        <sz val="10"/>
        <color rgb="FF000000"/>
        <rFont val="Arial"/>
        <family val="0"/>
        <charset val="1"/>
      </rPr>
      <t xml:space="preserve">(T2).</t>
    </r>
  </si>
  <si>
    <r>
      <rPr>
        <b val="true"/>
        <sz val="12"/>
        <rFont val="Arial"/>
        <family val="0"/>
        <charset val="1"/>
      </rPr>
      <t xml:space="preserve">C. </t>
    </r>
    <r>
      <rPr>
        <b val="true"/>
        <sz val="12"/>
        <rFont val="Noto Sans CJK SC"/>
        <family val="2"/>
      </rPr>
      <t xml:space="preserve">프로토타입 </t>
    </r>
    <r>
      <rPr>
        <b val="true"/>
        <sz val="12"/>
        <rFont val="Arial"/>
        <family val="0"/>
        <charset val="1"/>
      </rPr>
      <t xml:space="preserve">v3.1 </t>
    </r>
    <r>
      <rPr>
        <b val="true"/>
        <sz val="12"/>
        <rFont val="Noto Sans CJK SC"/>
        <family val="2"/>
      </rPr>
      <t xml:space="preserve">배치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Arial"/>
        <family val="0"/>
        <charset val="1"/>
      </rPr>
      <t xml:space="preserve">, 5</t>
    </r>
    <r>
      <rPr>
        <b val="true"/>
        <sz val="12"/>
        <rFont val="Noto Sans CJK SC"/>
        <family val="2"/>
      </rPr>
      <t xml:space="preserve">구역</t>
    </r>
    <r>
      <rPr>
        <b val="true"/>
        <sz val="12"/>
        <rFont val="Arial"/>
        <family val="0"/>
        <charset val="1"/>
      </rPr>
      <t xml:space="preserve">)</t>
    </r>
  </si>
  <si>
    <t xml:space="preserve">P0</t>
  </si>
  <si>
    <t xml:space="preserve">P1</t>
  </si>
  <si>
    <r>
      <rPr>
        <sz val="10"/>
        <color rgb="FF000000"/>
        <rFont val="Noto Sans CJK SC"/>
        <family val="2"/>
      </rPr>
      <t xml:space="preserve">식품 통로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붕괴 매대</t>
    </r>
    <r>
      <rPr>
        <sz val="10"/>
        <color rgb="FF000000"/>
        <rFont val="Arial"/>
        <family val="0"/>
        <charset val="1"/>
      </rPr>
      <t xml:space="preserve">)</t>
    </r>
  </si>
  <si>
    <t xml:space="preserve">P2</t>
  </si>
  <si>
    <r>
      <rPr>
        <sz val="10"/>
        <color rgb="FF000000"/>
        <rFont val="Noto Sans CJK SC"/>
        <family val="2"/>
      </rPr>
      <t xml:space="preserve">농산물 광장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직원 발 </t>
    </r>
    <r>
      <rPr>
        <sz val="10"/>
        <color rgb="FF000000"/>
        <rFont val="Arial"/>
        <family val="0"/>
        <charset val="1"/>
      </rPr>
      <t xml:space="preserve">2)</t>
    </r>
  </si>
  <si>
    <t xml:space="preserve">P3</t>
  </si>
  <si>
    <r>
      <rPr>
        <sz val="10"/>
        <color rgb="FF000000"/>
        <rFont val="Noto Sans CJK SC"/>
        <family val="2"/>
      </rPr>
      <t xml:space="preserve">아이스크림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청소기</t>
    </r>
    <r>
      <rPr>
        <sz val="10"/>
        <color rgb="FF000000"/>
        <rFont val="Arial"/>
        <family val="0"/>
        <charset val="1"/>
      </rPr>
      <t xml:space="preserve">)</t>
    </r>
  </si>
  <si>
    <t xml:space="preserve">P4</t>
  </si>
  <si>
    <r>
      <rPr>
        <sz val="10"/>
        <color rgb="FF000000"/>
        <rFont val="Noto Sans CJK SC"/>
        <family val="2"/>
      </rPr>
      <t xml:space="preserve">계산대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벨트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</si>
  <si>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본게임 합계 </t>
    </r>
    <r>
      <rPr>
        <b val="true"/>
        <sz val="10"/>
        <color rgb="FF000000"/>
        <rFont val="Arial"/>
        <family val="0"/>
        <charset val="1"/>
      </rPr>
      <t xml:space="preserve">(P1~P4)</t>
    </r>
  </si>
  <si>
    <r>
      <rPr>
        <i val="true"/>
        <sz val="10"/>
        <color rgb="FF595959"/>
        <rFont val="Noto Sans CJK SC"/>
        <family val="2"/>
      </rPr>
      <t xml:space="preserve">출처</t>
    </r>
    <r>
      <rPr>
        <i val="true"/>
        <sz val="10"/>
        <color rgb="FF595959"/>
        <rFont val="Arial"/>
        <family val="0"/>
        <charset val="1"/>
      </rPr>
      <t xml:space="preserve">: PrototypeSceneBuilder.cs</t>
    </r>
    <r>
      <rPr>
        <i val="true"/>
        <sz val="10"/>
        <color rgb="FF595959"/>
        <rFont val="Noto Sans CJK SC"/>
        <family val="2"/>
      </rPr>
      <t xml:space="preserve">의 </t>
    </r>
    <r>
      <rPr>
        <i val="true"/>
        <sz val="10"/>
        <color rgb="FF595959"/>
        <rFont val="Arial"/>
        <family val="0"/>
        <charset val="1"/>
      </rPr>
      <t xml:space="preserve">Food()/TutorialFood() </t>
    </r>
    <r>
      <rPr>
        <i val="true"/>
        <sz val="10"/>
        <color rgb="FF595959"/>
        <rFont val="Noto Sans CJK SC"/>
        <family val="2"/>
      </rPr>
      <t xml:space="preserve">호출을 구역 </t>
    </r>
    <r>
      <rPr>
        <i val="true"/>
        <sz val="10"/>
        <color rgb="FF595959"/>
        <rFont val="Arial"/>
        <family val="0"/>
        <charset val="1"/>
      </rPr>
      <t xml:space="preserve">z </t>
    </r>
    <r>
      <rPr>
        <i val="true"/>
        <sz val="10"/>
        <color rgb="FF595959"/>
        <rFont val="Noto Sans CJK SC"/>
        <family val="2"/>
      </rPr>
      <t xml:space="preserve">범위로 집계</t>
    </r>
  </si>
  <si>
    <r>
      <rPr>
        <b val="true"/>
        <sz val="12"/>
        <rFont val="Noto Sans CJK SC"/>
        <family val="2"/>
      </rPr>
      <t xml:space="preserve">길이별 이동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청소기 탈출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카메라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꼬리 길이</t>
    </r>
  </si>
  <si>
    <r>
      <rPr>
        <i val="true"/>
        <sz val="10"/>
        <color rgb="FF595959"/>
        <rFont val="Noto Sans CJK SC"/>
        <family val="2"/>
      </rPr>
      <t xml:space="preserve">모든 값은 조정값 시트의 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현재 적용값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과 음식배치 시트의 평균 증가량으로 계산한다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레벨 규격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통로 폭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은신처 크기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청소기 배치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을 정할 때 쓴다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</si>
  <si>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평균 증가량 </t>
    </r>
    <r>
      <rPr>
        <b val="true"/>
        <sz val="10"/>
        <color rgb="FF000000"/>
        <rFont val="Arial"/>
        <family val="0"/>
        <charset val="1"/>
      </rPr>
      <t xml:space="preserve">(cm)</t>
    </r>
  </si>
  <si>
    <r>
      <rPr>
        <b val="true"/>
        <sz val="10"/>
        <color rgb="FF000000"/>
        <rFont val="Noto Sans CJK SC"/>
        <family val="2"/>
      </rPr>
      <t xml:space="preserve">걷기 속도 </t>
    </r>
    <r>
      <rPr>
        <b val="true"/>
        <sz val="10"/>
        <color rgb="FF000000"/>
        <rFont val="Arial"/>
        <family val="0"/>
        <charset val="1"/>
      </rPr>
      <t xml:space="preserve">10cm</t>
    </r>
  </si>
  <si>
    <r>
      <rPr>
        <b val="true"/>
        <sz val="10"/>
        <color rgb="FF000000"/>
        <rFont val="Arial"/>
        <family val="0"/>
        <charset val="1"/>
      </rPr>
      <t xml:space="preserve">cm</t>
    </r>
    <r>
      <rPr>
        <b val="true"/>
        <sz val="10"/>
        <color rgb="FF000000"/>
        <rFont val="Noto Sans CJK SC"/>
        <family val="2"/>
      </rPr>
      <t xml:space="preserve">당 거리</t>
    </r>
  </si>
  <si>
    <r>
      <rPr>
        <b val="true"/>
        <sz val="10"/>
        <color rgb="FF000000"/>
        <rFont val="Noto Sans CJK SC"/>
        <family val="2"/>
      </rPr>
      <t xml:space="preserve">평균 젤리 반지름 </t>
    </r>
    <r>
      <rPr>
        <b val="true"/>
        <sz val="10"/>
        <color rgb="FF000000"/>
        <rFont val="Arial"/>
        <family val="0"/>
        <charset val="1"/>
      </rPr>
      <t xml:space="preserve">(u)</t>
    </r>
  </si>
  <si>
    <r>
      <rPr>
        <b val="true"/>
        <sz val="10"/>
        <color rgb="FF000000"/>
        <rFont val="Arial"/>
        <family val="0"/>
        <charset val="1"/>
      </rPr>
      <t xml:space="preserve">100cm </t>
    </r>
    <r>
      <rPr>
        <b val="true"/>
        <sz val="10"/>
        <color rgb="FF000000"/>
        <rFont val="Noto Sans CJK SC"/>
        <family val="2"/>
      </rPr>
      <t xml:space="preserve">걷기 배율</t>
    </r>
  </si>
  <si>
    <t xml:space="preserve">카메라 최대 거리</t>
  </si>
  <si>
    <r>
      <rPr>
        <b val="true"/>
        <sz val="10"/>
        <color rgb="FF000000"/>
        <rFont val="Noto Sans CJK SC"/>
        <family val="2"/>
      </rPr>
      <t xml:space="preserve">선두 반지름 </t>
    </r>
    <r>
      <rPr>
        <b val="true"/>
        <sz val="10"/>
        <color rgb="FF000000"/>
        <rFont val="Arial"/>
        <family val="0"/>
        <charset val="1"/>
      </rPr>
      <t xml:space="preserve">(u)</t>
    </r>
  </si>
  <si>
    <t xml:space="preserve">청소기 최대 끌림</t>
  </si>
  <si>
    <t xml:space="preserve">흡입 영역 길이</t>
  </si>
  <si>
    <t xml:space="preserve">목표 길이</t>
  </si>
  <si>
    <t xml:space="preserve">카메라 기본 거리</t>
  </si>
  <si>
    <r>
      <rPr>
        <b val="true"/>
        <sz val="10"/>
        <color rgb="FFFFFFFF"/>
        <rFont val="Noto Sans CJK SC"/>
        <family val="2"/>
      </rPr>
      <t xml:space="preserve">길이 </t>
    </r>
    <r>
      <rPr>
        <b val="true"/>
        <sz val="10"/>
        <color rgb="FFFFFFFF"/>
        <rFont val="Arial"/>
        <family val="0"/>
        <charset val="1"/>
      </rPr>
      <t xml:space="preserve">(cm)</t>
    </r>
  </si>
  <si>
    <t xml:space="preserve">감속 배율</t>
  </si>
  <si>
    <r>
      <rPr>
        <b val="true"/>
        <sz val="10"/>
        <color rgb="FFFFFFFF"/>
        <rFont val="Noto Sans CJK SC"/>
        <family val="2"/>
      </rPr>
      <t xml:space="preserve">걷기 </t>
    </r>
    <r>
      <rPr>
        <b val="true"/>
        <sz val="10"/>
        <color rgb="FFFFFFFF"/>
        <rFont val="Arial"/>
        <family val="0"/>
        <charset val="1"/>
      </rPr>
      <t xml:space="preserve">(u/s)</t>
    </r>
  </si>
  <si>
    <r>
      <rPr>
        <b val="true"/>
        <sz val="10"/>
        <color rgb="FFFFFFFF"/>
        <rFont val="Noto Sans CJK SC"/>
        <family val="2"/>
      </rPr>
      <t xml:space="preserve">걷기 − 최대 끌림 </t>
    </r>
    <r>
      <rPr>
        <b val="true"/>
        <sz val="10"/>
        <color rgb="FFFFFFFF"/>
        <rFont val="Arial"/>
        <family val="0"/>
        <charset val="1"/>
      </rPr>
      <t xml:space="preserve">(u/s)</t>
    </r>
  </si>
  <si>
    <r>
      <rPr>
        <b val="true"/>
        <sz val="10"/>
        <color rgb="FFFFFFFF"/>
        <rFont val="Noto Sans CJK SC"/>
        <family val="2"/>
      </rPr>
      <t xml:space="preserve">흡입 영역을 걸어서 벗어나기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</si>
  <si>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카메라 거리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</si>
  <si>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예상 연결 수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마리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</si>
  <si>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꼬리 길이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</si>
  <si>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SC"/>
        <family val="2"/>
      </rPr>
      <t xml:space="preserve">타일 걷기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</si>
  <si>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꼬리가 한 지점을 지나는 시간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걷기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</si>
  <si>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꼬리 길이 </t>
    </r>
    <r>
      <rPr>
        <i val="true"/>
        <sz val="10"/>
        <color rgb="FF595959"/>
        <rFont val="Arial"/>
        <family val="0"/>
        <charset val="1"/>
      </rPr>
      <t xml:space="preserve">= </t>
    </r>
    <r>
      <rPr>
        <i val="true"/>
        <sz val="10"/>
        <color rgb="FF595959"/>
        <rFont val="Noto Sans CJK SC"/>
        <family val="2"/>
      </rPr>
      <t xml:space="preserve">선두 중심에서 마지막 젤리 끝까지의 경로 길이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일직선 기준</t>
    </r>
    <r>
      <rPr>
        <i val="true"/>
        <sz val="10"/>
        <color rgb="FF595959"/>
        <rFont val="Arial"/>
        <family val="0"/>
        <charset val="1"/>
      </rPr>
      <t xml:space="preserve">). </t>
    </r>
    <r>
      <rPr>
        <i val="true"/>
        <sz val="10"/>
        <color rgb="FF595959"/>
        <rFont val="Noto Sans CJK SC"/>
        <family val="2"/>
      </rPr>
      <t xml:space="preserve">실제 음식 크기가 섞이면 </t>
    </r>
    <r>
      <rPr>
        <i val="true"/>
        <sz val="10"/>
        <color rgb="FF595959"/>
        <rFont val="Arial"/>
        <family val="0"/>
        <charset val="1"/>
      </rPr>
      <t xml:space="preserve">±10% </t>
    </r>
    <r>
      <rPr>
        <i val="true"/>
        <sz val="10"/>
        <color rgb="FF595959"/>
        <rFont val="Noto Sans CJK SC"/>
        <family val="2"/>
      </rPr>
      <t xml:space="preserve">정도 달라진다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</si>
  <si>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i val="true"/>
        <sz val="10"/>
        <color rgb="FF595959"/>
        <rFont val="Noto Sans CJK SC"/>
        <family val="2"/>
      </rPr>
      <t xml:space="preserve">작은 은신처</t>
    </r>
    <r>
      <rPr>
        <i val="true"/>
        <sz val="10"/>
        <color rgb="FF595959"/>
        <rFont val="Arial"/>
        <family val="0"/>
        <charset val="1"/>
      </rPr>
      <t xml:space="preserve">(30cm)</t>
    </r>
    <r>
      <rPr>
        <i val="true"/>
        <sz val="10"/>
        <color rgb="FF595959"/>
        <rFont val="Noto Sans CJK SC"/>
        <family val="2"/>
      </rPr>
      <t xml:space="preserve">와 긴 은신 통로</t>
    </r>
    <r>
      <rPr>
        <i val="true"/>
        <sz val="10"/>
        <color rgb="FF595959"/>
        <rFont val="Arial"/>
        <family val="0"/>
        <charset val="1"/>
      </rPr>
      <t xml:space="preserve">(100cm)</t>
    </r>
    <r>
      <rPr>
        <i val="true"/>
        <sz val="10"/>
        <color rgb="FF595959"/>
        <rFont val="Noto Sans CJK SC"/>
        <family val="2"/>
      </rPr>
      <t xml:space="preserve">의 내부 경로 길이는 이 표의 </t>
    </r>
    <r>
      <rPr>
        <i val="true"/>
        <sz val="10"/>
        <color rgb="FF595959"/>
        <rFont val="Arial"/>
        <family val="0"/>
        <charset val="1"/>
      </rPr>
      <t xml:space="preserve">30cm·100cm </t>
    </r>
    <r>
      <rPr>
        <i val="true"/>
        <sz val="10"/>
        <color rgb="FF595959"/>
        <rFont val="Noto Sans CJK SC"/>
        <family val="2"/>
      </rPr>
      <t xml:space="preserve">행 꼬리 길이보다 길어야 한다</t>
    </r>
    <r>
      <rPr>
        <i val="true"/>
        <sz val="10"/>
        <color rgb="FF595959"/>
        <rFont val="Arial"/>
        <family val="0"/>
        <charset val="1"/>
      </rPr>
      <t xml:space="preserve">. E</t>
    </r>
    <r>
      <rPr>
        <i val="true"/>
        <sz val="10"/>
        <color rgb="FF595959"/>
        <rFont val="Noto Sans CJK SC"/>
        <family val="2"/>
      </rPr>
      <t xml:space="preserve">열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Noto Sans CJK SC"/>
        <family val="2"/>
      </rPr>
      <t xml:space="preserve">끌림이 최대가 된 뒤 영역 길이만큼 걸어서 벗어나는 시간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못 벗어나는 길이부터는 점프로 빠져나오거나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붙잡힌 뒤 이동 키 유지로 탈출한다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</si>
  <si>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예고 시간 점검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기획서 </t>
    </r>
    <r>
      <rPr>
        <b val="true"/>
        <sz val="12"/>
        <rFont val="Arial"/>
        <family val="0"/>
        <charset val="1"/>
      </rPr>
      <t xml:space="preserve">09</t>
    </r>
    <r>
      <rPr>
        <b val="true"/>
        <sz val="12"/>
        <rFont val="Noto Sans CJK SC"/>
        <family val="2"/>
      </rPr>
      <t xml:space="preserve">장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짧을 때만 피할 수 있는 예고라면 </t>
    </r>
    <r>
      <rPr>
        <b val="true"/>
        <sz val="12"/>
        <rFont val="Arial"/>
        <family val="0"/>
        <charset val="1"/>
      </rPr>
      <t xml:space="preserve">100cm </t>
    </r>
    <r>
      <rPr>
        <b val="true"/>
        <sz val="12"/>
        <rFont val="Noto Sans CJK SC"/>
        <family val="2"/>
      </rPr>
      <t xml:space="preserve">무리 기준으로 다시 조정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</si>
  <si>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필요 시간 </t>
    </r>
    <r>
      <rPr>
        <i val="true"/>
        <sz val="10"/>
        <color rgb="FF595959"/>
        <rFont val="Arial"/>
        <family val="0"/>
        <charset val="1"/>
      </rPr>
      <t xml:space="preserve">= (</t>
    </r>
    <r>
      <rPr>
        <i val="true"/>
        <sz val="10"/>
        <color rgb="FF595959"/>
        <rFont val="Noto Sans CJK SC"/>
        <family val="2"/>
      </rPr>
      <t xml:space="preserve">위험 영역 길이 </t>
    </r>
    <r>
      <rPr>
        <i val="true"/>
        <sz val="10"/>
        <color rgb="FF595959"/>
        <rFont val="Arial"/>
        <family val="0"/>
        <charset val="1"/>
      </rPr>
      <t xml:space="preserve">+ </t>
    </r>
    <r>
      <rPr>
        <i val="true"/>
        <sz val="10"/>
        <color rgb="FF595959"/>
        <rFont val="Noto Sans CJK SC"/>
        <family val="2"/>
      </rPr>
      <t xml:space="preserve">꼬리 길이</t>
    </r>
    <r>
      <rPr>
        <i val="true"/>
        <sz val="10"/>
        <color rgb="FF595959"/>
        <rFont val="Arial"/>
        <family val="0"/>
        <charset val="1"/>
      </rPr>
      <t xml:space="preserve">) ÷ </t>
    </r>
    <r>
      <rPr>
        <i val="true"/>
        <sz val="10"/>
        <color rgb="FF595959"/>
        <rFont val="Noto Sans CJK SC"/>
        <family val="2"/>
      </rPr>
      <t xml:space="preserve">걷기 속도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예고가 시작될 때 꼬리가 영역에 막 들어온 최악의 경우다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달리기 없음</t>
    </r>
    <r>
      <rPr>
        <i val="true"/>
        <sz val="10"/>
        <color rgb="FF595959"/>
        <rFont val="Arial"/>
        <family val="0"/>
        <charset val="1"/>
      </rPr>
      <t xml:space="preserve">). </t>
    </r>
    <r>
      <rPr>
        <i val="true"/>
        <sz val="10"/>
        <color rgb="FF595959"/>
        <rFont val="Noto Sans CJK SC"/>
        <family val="2"/>
      </rPr>
      <t xml:space="preserve">청소기는 선두가 끌림을 이기고 걸어서 벗어나는 시간을 본다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</si>
  <si>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위험</t>
  </si>
  <si>
    <r>
      <rPr>
        <b val="true"/>
        <sz val="10"/>
        <color rgb="FFFFFFFF"/>
        <rFont val="Noto Sans CJK SC"/>
        <family val="2"/>
      </rPr>
      <t xml:space="preserve">예고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유예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</si>
  <si>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영역 길이 </t>
    </r>
    <r>
      <rPr>
        <b val="true"/>
        <sz val="10"/>
        <color rgb="FFFFFFFF"/>
        <rFont val="Arial"/>
        <family val="0"/>
        <charset val="1"/>
      </rPr>
      <t xml:space="preserve">(u)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</si>
  <si>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10cm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</si>
  <si>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50cm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</si>
  <si>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· 100cm 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</si>
  <si>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100cm </t>
    </r>
    <r>
      <rPr>
        <b val="true"/>
        <sz val="10"/>
        <color rgb="FFFFFFFF"/>
        <rFont val="Noto Sans CJK SC"/>
        <family val="2"/>
      </rPr>
      <t xml:space="preserve">여유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</si>
  <si>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판정</t>
  </si>
  <si>
    <t xml:space="preserve">참고 파라미터</t>
  </si>
  <si>
    <t xml:space="preserve">메모</t>
  </si>
  <si>
    <t xml:space="preserve">직원 발 착지</t>
  </si>
  <si>
    <t xml:space="preserve">STF_WARN / STF_FOOT_L</t>
  </si>
  <si>
    <r>
      <rPr>
        <sz val="10"/>
        <color rgb="FF000000"/>
        <rFont val="Noto Sans CJK SC"/>
        <family val="2"/>
      </rPr>
      <t xml:space="preserve">발 그림자 예고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발 길이 기준</t>
    </r>
  </si>
  <si>
    <r>
      <rPr>
        <sz val="10"/>
        <color rgb="FF000000"/>
        <rFont val="Arial"/>
        <family val="0"/>
        <charset val="1"/>
      </rPr>
      <t xml:space="preserve">FST_WARN / </t>
    </r>
    <r>
      <rPr>
        <sz val="10"/>
        <color rgb="FF000000"/>
        <rFont val="Noto Sans CJK SC"/>
        <family val="2"/>
      </rPr>
      <t xml:space="preserve">낙하 폭 </t>
    </r>
    <r>
      <rPr>
        <sz val="10"/>
        <color rgb="FF000000"/>
        <rFont val="Arial"/>
        <family val="0"/>
        <charset val="1"/>
      </rPr>
      <t xml:space="preserve">1.6 + </t>
    </r>
    <r>
      <rPr>
        <sz val="10"/>
        <color rgb="FF000000"/>
        <rFont val="Noto Sans CJK SC"/>
        <family val="2"/>
      </rPr>
      <t xml:space="preserve">여유</t>
    </r>
  </si>
  <si>
    <r>
      <rPr>
        <sz val="10"/>
        <color rgb="FF000000"/>
        <rFont val="Noto Sans CJK SC"/>
        <family val="2"/>
      </rPr>
      <t xml:space="preserve">낙하 지점 폭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대표 </t>
    </r>
    <r>
      <rPr>
        <sz val="10"/>
        <color rgb="FF000000"/>
        <rFont val="Arial"/>
        <family val="0"/>
        <charset val="1"/>
      </rPr>
      <t xml:space="preserve">1.6u)</t>
    </r>
    <r>
      <rPr>
        <sz val="10"/>
        <color rgb="FF000000"/>
        <rFont val="Noto Sans CJK SC"/>
        <family val="2"/>
      </rPr>
      <t xml:space="preserve">을 가로질러 벗어나는 기준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실제로는 반대편 통로로 우회</t>
    </r>
  </si>
  <si>
    <t xml:space="preserve">FRT_WARN / FRT_LANE_W</t>
  </si>
  <si>
    <t xml:space="preserve">레인 폭 가로지르기</t>
  </si>
  <si>
    <r>
      <rPr>
        <b val="true"/>
        <sz val="10"/>
        <color rgb="FF000000"/>
        <rFont val="Noto Sans CJK SC"/>
        <family val="2"/>
      </rPr>
      <t xml:space="preserve">청소기 영역 걸어서 탈출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선두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</si>
  <si>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VAC_PULL_RAMP / VAC_ZONE_L / VAC_LEADER_PULL_MAX</t>
  </si>
  <si>
    <r>
      <rPr>
        <sz val="10"/>
        <color rgb="FF000000"/>
        <rFont val="Noto Sans CJK SC"/>
        <family val="2"/>
      </rPr>
      <t xml:space="preserve">최대 끌림 기준</t>
    </r>
    <r>
      <rPr>
        <sz val="10"/>
        <color rgb="FF000000"/>
        <rFont val="Arial"/>
        <family val="0"/>
        <charset val="1"/>
      </rPr>
      <t xml:space="preserve">. 999 = </t>
    </r>
    <r>
      <rPr>
        <sz val="10"/>
        <color rgb="FF000000"/>
        <rFont val="Noto Sans CJK SC"/>
        <family val="2"/>
      </rPr>
      <t xml:space="preserve">걷기가 끌림보다 느림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실패는 없고 붙잡히면 이동 키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초 유지로 탈출</t>
    </r>
    <r>
      <rPr>
        <sz val="10"/>
        <color rgb="FF000000"/>
        <rFont val="Arial"/>
        <family val="0"/>
        <charset val="1"/>
      </rPr>
      <t xml:space="preserve">(LDR_ESCAPE_HOLD)</t>
    </r>
  </si>
  <si>
    <r>
      <rPr>
        <i val="true"/>
        <sz val="10"/>
        <color rgb="FF595959"/>
        <rFont val="Noto Sans CJK SC"/>
        <family val="2"/>
      </rPr>
      <t xml:space="preserve">값이 빨간 줄은 </t>
    </r>
    <r>
      <rPr>
        <i val="true"/>
        <sz val="10"/>
        <color rgb="FF595959"/>
        <rFont val="Arial"/>
        <family val="0"/>
        <charset val="1"/>
      </rPr>
      <t xml:space="preserve">'100cm </t>
    </r>
    <r>
      <rPr>
        <i val="true"/>
        <sz val="10"/>
        <color rgb="FF595959"/>
        <rFont val="Noto Sans CJK SC"/>
        <family val="2"/>
      </rPr>
      <t xml:space="preserve">무리는 꼬리 일부를 잃는다</t>
    </r>
    <r>
      <rPr>
        <i val="true"/>
        <sz val="10"/>
        <color rgb="FF595959"/>
        <rFont val="Arial"/>
        <family val="0"/>
        <charset val="1"/>
      </rPr>
      <t xml:space="preserve">'</t>
    </r>
    <r>
      <rPr>
        <i val="true"/>
        <sz val="10"/>
        <color rgb="FF595959"/>
        <rFont val="Noto Sans CJK SC"/>
        <family val="2"/>
      </rPr>
      <t xml:space="preserve">는 뜻이다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우회로가 있는 위험은 의도한 난도로 본다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예고를 늘릴지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배치를 바꿀지는 처음 하는 사람 기준 플레이테스트에서 정한다</t>
    </r>
    <r>
      <rPr>
        <i val="true"/>
        <sz val="10"/>
        <color rgb="FF595959"/>
        <rFont val="Arial"/>
        <family val="0"/>
        <charset val="1"/>
      </rPr>
      <t xml:space="preserve">.</t>
    </r>
  </si>
  <si>
    <t xml:space="preserve">날짜</t>
  </si>
  <si>
    <t xml:space="preserve">버전</t>
  </si>
  <si>
    <t xml:space="preserve">이전 값</t>
  </si>
  <si>
    <t xml:space="preserve">새 값</t>
  </si>
  <si>
    <t xml:space="preserve">이유</t>
  </si>
  <si>
    <t xml:space="preserve">작성</t>
  </si>
  <si>
    <t xml:space="preserve">2026-09-28</t>
  </si>
  <si>
    <t xml:space="preserve">1.0</t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</si>
  <si>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전체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</si>
  <si>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초안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프로토타입 </t>
    </r>
    <r>
      <rPr>
        <sz val="10"/>
        <color rgb="FF000000"/>
        <rFont val="Arial"/>
        <family val="0"/>
        <charset val="1"/>
      </rPr>
      <t xml:space="preserve">v3.1 </t>
    </r>
    <r>
      <rPr>
        <sz val="10"/>
        <color rgb="FF000000"/>
        <rFont val="Noto Sans CJK SC"/>
        <family val="2"/>
      </rPr>
      <t xml:space="preserve">코드 값과 기획서 </t>
    </r>
    <r>
      <rPr>
        <sz val="10"/>
        <color rgb="FF000000"/>
        <rFont val="Arial"/>
        <family val="0"/>
        <charset val="1"/>
      </rPr>
      <t xml:space="preserve">v0.3 </t>
    </r>
    <r>
      <rPr>
        <sz val="10"/>
        <color rgb="FF000000"/>
        <rFont val="Noto Sans CJK SC"/>
        <family val="2"/>
      </rPr>
      <t xml:space="preserve">값을 옮기고</t>
    </r>
    <r>
      <rPr>
        <sz val="10"/>
        <color rgb="FF000000"/>
        <rFont val="Arial"/>
        <family val="0"/>
        <charset val="1"/>
      </rPr>
      <t xml:space="preserve">, 9/28 </t>
    </r>
    <r>
      <rPr>
        <sz val="10"/>
        <color rgb="FF000000"/>
        <rFont val="Noto Sans CJK SC"/>
        <family val="2"/>
      </rPr>
      <t xml:space="preserve">결정</t>
    </r>
    <r>
      <rPr>
        <sz val="10"/>
        <color rgb="FF000000"/>
        <rFont val="Arial"/>
        <family val="0"/>
        <charset val="1"/>
      </rPr>
      <t xml:space="preserve">(6</t>
    </r>
    <r>
      <rPr>
        <sz val="10"/>
        <color rgb="FF000000"/>
        <rFont val="Noto Sans CJK SC"/>
        <family val="2"/>
      </rPr>
      <t xml:space="preserve">구역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달리기 </t>
    </r>
    <r>
      <rPr>
        <sz val="10"/>
        <color rgb="FF000000"/>
        <rFont val="Arial"/>
        <family val="0"/>
        <charset val="1"/>
      </rPr>
      <t xml:space="preserve">1.6·</t>
    </r>
    <r>
      <rPr>
        <sz val="10"/>
        <color rgb="FF000000"/>
        <rFont val="Noto Sans CJK SC"/>
        <family val="2"/>
      </rPr>
      <t xml:space="preserve">은신처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종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을 반영</t>
    </r>
  </si>
  <si>
    <t xml:space="preserve">정예원</t>
  </si>
  <si>
    <r>
      <rPr>
        <sz val="10"/>
        <color rgb="FF000000"/>
        <rFont val="Noto Sans CJK SC"/>
        <family val="2"/>
      </rPr>
      <t xml:space="preserve">기획서 값으로 맞춤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걷기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기준 </t>
    </r>
    <r>
      <rPr>
        <sz val="10"/>
        <color rgb="FF000000"/>
        <rFont val="Arial"/>
        <family val="0"/>
        <charset val="1"/>
      </rPr>
      <t xml:space="preserve">10cm </t>
    </r>
    <r>
      <rPr>
        <sz val="10"/>
        <color rgb="FF000000"/>
        <rFont val="Noto Sans CJK SC"/>
        <family val="2"/>
      </rPr>
      <t xml:space="preserve">달리기 </t>
    </r>
    <r>
      <rPr>
        <sz val="10"/>
        <color rgb="FF000000"/>
        <rFont val="Arial"/>
        <family val="0"/>
        <charset val="1"/>
      </rPr>
      <t xml:space="preserve">4.16u/s (v3.1 </t>
    </r>
    <r>
      <rPr>
        <sz val="10"/>
        <color rgb="FF000000"/>
        <rFont val="Noto Sans CJK SC"/>
        <family val="2"/>
      </rPr>
      <t xml:space="preserve">이전 </t>
    </r>
    <r>
      <rPr>
        <sz val="10"/>
        <color rgb="FF000000"/>
        <rFont val="Arial"/>
        <family val="0"/>
        <charset val="1"/>
      </rPr>
      <t xml:space="preserve">4.18</t>
    </r>
    <r>
      <rPr>
        <sz val="10"/>
        <color rgb="FF000000"/>
        <rFont val="Noto Sans CJK SC"/>
        <family val="2"/>
      </rPr>
      <t xml:space="preserve">과 거의 같음</t>
    </r>
    <r>
      <rPr>
        <sz val="10"/>
        <color rgb="FF000000"/>
        <rFont val="Arial"/>
        <family val="0"/>
        <charset val="1"/>
      </rPr>
      <t xml:space="preserve">)</t>
    </r>
  </si>
  <si>
    <t xml:space="preserve">2026-09-30</t>
  </si>
  <si>
    <t xml:space="preserve">1.1</t>
  </si>
  <si>
    <r>
      <rPr>
        <sz val="10"/>
        <color rgb="FF000000"/>
        <rFont val="Noto Sans CJK SC"/>
        <family val="2"/>
      </rPr>
      <t xml:space="preserve">기획서 </t>
    </r>
    <r>
      <rPr>
        <sz val="10"/>
        <color rgb="FF000000"/>
        <rFont val="Arial"/>
        <family val="0"/>
        <charset val="1"/>
      </rPr>
      <t xml:space="preserve">v0.4·</t>
    </r>
    <r>
      <rPr>
        <sz val="10"/>
        <color rgb="FF000000"/>
        <rFont val="Noto Sans CJK SC"/>
        <family val="2"/>
      </rPr>
      <t xml:space="preserve">시스템기획서 </t>
    </r>
    <r>
      <rPr>
        <sz val="10"/>
        <color rgb="FF000000"/>
        <rFont val="Arial"/>
        <family val="0"/>
        <charset val="1"/>
      </rPr>
      <t xml:space="preserve">v1.1</t>
    </r>
    <r>
      <rPr>
        <sz val="10"/>
        <color rgb="FF000000"/>
        <rFont val="Noto Sans CJK SC"/>
        <family val="2"/>
      </rPr>
      <t xml:space="preserve">에 맞춤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현재 적용값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그레이박스 코드</t>
    </r>
    <r>
      <rPr>
        <sz val="10"/>
        <color rgb="FF000000"/>
        <rFont val="Arial"/>
        <family val="0"/>
        <charset val="1"/>
      </rPr>
      <t xml:space="preserve">(101CM_Game) </t>
    </r>
    <r>
      <rPr>
        <sz val="10"/>
        <color rgb="FF000000"/>
        <rFont val="Noto Sans CJK SC"/>
        <family val="2"/>
      </rPr>
      <t xml:space="preserve">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구역 시트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구역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음식 목록에 좌표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높이 추가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길이별수치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예고시간점검을 달리기 없는 규칙으로 다시 계산</t>
    </r>
  </si>
  <si>
    <r>
      <rPr>
        <sz val="10"/>
        <color rgb="FF000000"/>
        <rFont val="Arial"/>
        <family val="0"/>
        <charset val="1"/>
      </rPr>
      <t xml:space="preserve">LDR_RUN_* (4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</si>
  <si>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t xml:space="preserve">1.6 / 2.5 / 4 / 0.8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</si>
  <si>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달리기 삭제</t>
    </r>
    <r>
      <rPr>
        <sz val="10"/>
        <color rgb="FF000000"/>
        <rFont val="Arial"/>
        <family val="0"/>
        <charset val="1"/>
      </rPr>
      <t xml:space="preserve">, Shift = </t>
    </r>
    <r>
      <rPr>
        <sz val="10"/>
        <color rgb="FF000000"/>
        <rFont val="Noto Sans CJK SC"/>
        <family val="2"/>
      </rPr>
      <t xml:space="preserve">점프</t>
    </r>
  </si>
  <si>
    <r>
      <rPr>
        <sz val="10"/>
        <color rgb="FF000000"/>
        <rFont val="Arial"/>
        <family val="0"/>
        <charset val="1"/>
      </rPr>
      <t xml:space="preserve">LDR_JUMP_HEIGHT </t>
    </r>
    <r>
      <rPr>
        <sz val="10"/>
        <color rgb="FF000000"/>
        <rFont val="Noto Sans CJK SC"/>
        <family val="2"/>
      </rPr>
      <t xml:space="preserve">외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</t>
    </r>
  </si>
  <si>
    <t xml:space="preserve">1.15 / 0.12 / 0.15 / 1.7</t>
  </si>
  <si>
    <r>
      <rPr>
        <sz val="10"/>
        <color rgb="FF000000"/>
        <rFont val="Noto Sans CJK SC"/>
        <family val="2"/>
      </rPr>
      <t xml:space="preserve">점프 추가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높이 체계 </t>
    </r>
    <r>
      <rPr>
        <sz val="10"/>
        <color rgb="FF000000"/>
        <rFont val="Arial"/>
        <family val="0"/>
        <charset val="1"/>
      </rPr>
      <t xml:space="preserve">0.5·0.95·1.0·2.0)</t>
    </r>
  </si>
  <si>
    <r>
      <rPr>
        <sz val="10"/>
        <color rgb="FF000000"/>
        <rFont val="Arial"/>
        <family val="0"/>
        <charset val="1"/>
      </rPr>
      <t xml:space="preserve">1 (</t>
    </r>
    <r>
      <rPr>
        <sz val="10"/>
        <color rgb="FF000000"/>
        <rFont val="Noto Sans CJK SC"/>
        <family val="2"/>
      </rPr>
      <t xml:space="preserve">몸길이</t>
    </r>
    <r>
      <rPr>
        <sz val="10"/>
        <color rgb="FF000000"/>
        <rFont val="Arial"/>
        <family val="0"/>
        <charset val="1"/>
      </rPr>
      <t xml:space="preserve">)</t>
    </r>
  </si>
  <si>
    <t xml:space="preserve">LDR_EAT_RING 0.625 + MARGIN 0.15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</si>
  <si>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먹기 판정을 발밑 링 안으로 좁힘</t>
    </r>
  </si>
  <si>
    <r>
      <rPr>
        <sz val="10"/>
        <color rgb="FF000000"/>
        <rFont val="Noto Sans CJK SC"/>
        <family val="2"/>
      </rPr>
      <t xml:space="preserve">회수도 발밑 링 </t>
    </r>
    <r>
      <rPr>
        <sz val="10"/>
        <color rgb="FF000000"/>
        <rFont val="Arial"/>
        <family val="0"/>
        <charset val="1"/>
      </rPr>
      <t xml:space="preserve">+ Space, </t>
    </r>
    <r>
      <rPr>
        <sz val="10"/>
        <color rgb="FF000000"/>
        <rFont val="Noto Sans CJK SC"/>
        <family val="2"/>
      </rPr>
      <t xml:space="preserve">한 마리씩</t>
    </r>
  </si>
  <si>
    <r>
      <rPr>
        <sz val="10"/>
        <color rgb="FF000000"/>
        <rFont val="Arial"/>
        <family val="0"/>
        <charset val="1"/>
      </rPr>
      <t xml:space="preserve">1.7 (× </t>
    </r>
    <r>
      <rPr>
        <sz val="10"/>
        <color rgb="FF000000"/>
        <rFont val="Noto Sans CJK SC"/>
        <family val="2"/>
      </rPr>
      <t xml:space="preserve">달리기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</si>
  <si>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CHN_CATCHUP 3.2 (× </t>
    </r>
    <r>
      <rPr>
        <sz val="10"/>
        <color rgb="FF000000"/>
        <rFont val="Noto Sans CJK SC"/>
        <family val="2"/>
      </rPr>
      <t xml:space="preserve">걷기</t>
    </r>
    <r>
      <rPr>
        <sz val="10"/>
        <color rgb="FF000000"/>
        <rFont val="Arial"/>
        <family val="0"/>
        <charset val="1"/>
      </rPr>
      <t xml:space="preserve">)</t>
    </r>
  </si>
  <si>
    <t xml:space="preserve">궤적 추종으로 변경</t>
  </si>
  <si>
    <t xml:space="preserve">5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</si>
  <si>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떨어진 동료는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초 뒤 음식으로</t>
    </r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</si>
  <si>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긴장감을 위해 떨림 단축</t>
    </r>
  </si>
  <si>
    <t xml:space="preserve">그레이박스 조정</t>
  </si>
  <si>
    <t xml:space="preserve">FST_RESET · FST_REARM</t>
  </si>
  <si>
    <t xml:space="preserve">테스트용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</si>
  <si>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흡입 영역 축소</t>
    </r>
    <r>
      <rPr>
        <sz val="10"/>
        <color rgb="FF000000"/>
        <rFont val="Arial"/>
        <family val="0"/>
        <charset val="1"/>
      </rPr>
      <t xml:space="preserve">. Z4 </t>
    </r>
    <r>
      <rPr>
        <sz val="10"/>
        <color rgb="FF000000"/>
        <rFont val="Noto Sans CJK SC"/>
        <family val="2"/>
      </rPr>
      <t xml:space="preserve">문 앞은 </t>
    </r>
    <r>
      <rPr>
        <sz val="10"/>
        <color rgb="FF000000"/>
        <rFont val="Arial"/>
        <family val="0"/>
        <charset val="1"/>
      </rPr>
      <t xml:space="preserve">1.6×1.7</t>
    </r>
  </si>
  <si>
    <t xml:space="preserve">VAC_SPEED · VAC_PAUSE</t>
  </si>
  <si>
    <t xml:space="preserve">1.2 / 1.5</t>
  </si>
  <si>
    <t xml:space="preserve">1.1 / 1.2</t>
  </si>
  <si>
    <t xml:space="preserve">레벨 빌더 씬 값</t>
  </si>
  <si>
    <r>
      <rPr>
        <sz val="10"/>
        <color rgb="FF000000"/>
        <rFont val="Arial"/>
        <family val="0"/>
        <charset val="1"/>
      </rPr>
      <t xml:space="preserve">1.5 → </t>
    </r>
    <r>
      <rPr>
        <sz val="10"/>
        <color rgb="FF000000"/>
        <rFont val="Noto Sans CJK SC"/>
        <family val="2"/>
      </rPr>
      <t xml:space="preserve">최대 </t>
    </r>
    <r>
      <rPr>
        <sz val="10"/>
        <color rgb="FF000000"/>
        <rFont val="Arial"/>
        <family val="0"/>
        <charset val="1"/>
      </rPr>
      <t xml:space="preserve">2.3 (1.5</t>
    </r>
    <r>
      <rPr>
        <sz val="10"/>
        <color rgb="FF000000"/>
        <rFont val="Noto Sans CJK SC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</si>
  <si>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t xml:space="preserve">오래 머물수록 세짐</t>
  </si>
  <si>
    <r>
      <rPr>
        <sz val="10"/>
        <color rgb="FF000000"/>
        <rFont val="Arial"/>
        <family val="0"/>
        <charset val="1"/>
      </rPr>
      <t xml:space="preserve">LDR_ESCAPE_* (4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</si>
  <si>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t xml:space="preserve">1.8 / 0.4 / 6.5 / 2</t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</si>
  <si>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청소기 실패 삭제 → 이동 키 유지로 탈출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연타 없음</t>
    </r>
    <r>
      <rPr>
        <sz val="10"/>
        <color rgb="FF000000"/>
        <rFont val="Arial"/>
        <family val="0"/>
        <charset val="1"/>
      </rPr>
      <t xml:space="preserve">)</t>
    </r>
  </si>
  <si>
    <t xml:space="preserve">FRT_SPEED · FRT_LANE_W</t>
  </si>
  <si>
    <t xml:space="preserve">2 / 1</t>
  </si>
  <si>
    <t xml:space="preserve">4.2 / 1.2</t>
  </si>
  <si>
    <t xml:space="preserve">과일 무더기로 구현</t>
  </si>
  <si>
    <t xml:space="preserve">ROL_* · SRF_* · ICE_*</t>
  </si>
  <si>
    <t xml:space="preserve">신규</t>
  </si>
  <si>
    <r>
      <rPr>
        <sz val="10"/>
        <color rgb="FF000000"/>
        <rFont val="Noto Sans CJK SC"/>
        <family val="2"/>
      </rPr>
      <t xml:space="preserve">굴러다니는 물건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바닥 방해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얼음 추가</t>
    </r>
  </si>
  <si>
    <r>
      <rPr>
        <sz val="10"/>
        <color rgb="FF000000"/>
        <rFont val="Arial"/>
        <family val="0"/>
        <charset val="1"/>
      </rPr>
      <t xml:space="preserve">DET_* (11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 · HID_CHECK_INTERVAL</t>
    </r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</si>
  <si>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직원 감지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은신 판정 삭제</t>
    </r>
  </si>
  <si>
    <r>
      <rPr>
        <sz val="10"/>
        <color rgb="FF000000"/>
        <rFont val="Noto Sans CJK SC"/>
        <family val="2"/>
      </rPr>
      <t xml:space="preserve">삭제 → </t>
    </r>
    <r>
      <rPr>
        <sz val="10"/>
        <color rgb="FF000000"/>
        <rFont val="Arial"/>
        <family val="0"/>
        <charset val="1"/>
      </rPr>
      <t xml:space="preserve">GAM_ZONE_SIGNS 5</t>
    </r>
  </si>
  <si>
    <r>
      <rPr>
        <sz val="10"/>
        <color rgb="FF000000"/>
        <rFont val="Arial"/>
        <family val="0"/>
        <charset val="1"/>
      </rPr>
      <t xml:space="preserve">9/29: </t>
    </r>
    <r>
      <rPr>
        <sz val="10"/>
        <color rgb="FF000000"/>
        <rFont val="Noto Sans CJK SC"/>
        <family val="2"/>
      </rPr>
      <t xml:space="preserve">저장 삭제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구역 안내판으로</t>
    </r>
  </si>
  <si>
    <r>
      <rPr>
        <sz val="10"/>
        <color rgb="FF000000"/>
        <rFont val="Noto Sans CJK SC"/>
        <family val="2"/>
      </rPr>
      <t xml:space="preserve">카운터와 골 홀 분리</t>
    </r>
    <r>
      <rPr>
        <sz val="10"/>
        <color rgb="FF000000"/>
        <rFont val="Arial"/>
        <family val="0"/>
        <charset val="1"/>
      </rPr>
      <t xml:space="preserve">, 34×41 </t>
    </r>
    <r>
      <rPr>
        <sz val="10"/>
        <color rgb="FF000000"/>
        <rFont val="Noto Sans CJK SC"/>
        <family val="2"/>
      </rPr>
      <t xml:space="preserve">ㄹ자</t>
    </r>
  </si>
  <si>
    <r>
      <rPr>
        <sz val="10"/>
        <color rgb="FF000000"/>
        <rFont val="Noto Sans CJK SC"/>
        <family val="2"/>
      </rPr>
      <t xml:space="preserve">현재 코드 값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실루엣 연출을 넣을 때 조정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</si>
  <si>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비움</t>
    </r>
    <r>
      <rPr>
        <sz val="10"/>
        <color rgb="FF000000"/>
        <rFont val="Arial"/>
        <family val="0"/>
        <charset val="1"/>
      </rPr>
      <t xml:space="preserve">)</t>
    </r>
  </si>
  <si>
    <t xml:space="preserve">맵 축소 후 재측정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</si>
</sst>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808080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8CBAD"/>
        <bgColor rgb="FFF4CCCC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CC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0"/>
  </cols>
  <sheetData>
    <row r="1" customFormat="false" ht="21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 t="s">
        <v>1</v>
      </c>
      <c r="B2" s="5" t="s">
        <v>2</v>
      </c>
    </row>
    <row r="3" customFormat="false" ht="1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4"/>
      <c r="B4" s="3"/>
    </row>
    <row r="5" customFormat="false" ht="15" hidden="false" customHeight="true" outlineLevel="0" collapsed="false">
      <c r="A5" s="6" t="s">
        <v>5</v>
      </c>
      <c r="B5" s="3"/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3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15" hidden="false" customHeight="true" outlineLevel="0" collapsed="false">
      <c r="A13" s="4"/>
      <c r="B13" s="3"/>
    </row>
    <row r="14" customFormat="false" ht="15" hidden="false" customHeight="true" outlineLevel="0" collapsed="false">
      <c r="A14" s="6" t="s">
        <v>20</v>
      </c>
      <c r="B14" s="3"/>
    </row>
    <row r="15" customFormat="false" ht="15" hidden="false" customHeight="true" outlineLevel="0" collapsed="false">
      <c r="A15" s="7" t="s">
        <v>21</v>
      </c>
      <c r="B15" s="5" t="s">
        <v>22</v>
      </c>
    </row>
    <row r="16" customFormat="false" ht="15" hidden="false" customHeight="true" outlineLevel="0" collapsed="false">
      <c r="A16" s="8" t="s">
        <v>23</v>
      </c>
      <c r="B16" s="5" t="s">
        <v>24</v>
      </c>
    </row>
    <row r="17" customFormat="false" ht="15" hidden="false" customHeight="true" outlineLevel="0" collapsed="false">
      <c r="A17" s="4" t="s">
        <v>25</v>
      </c>
      <c r="B17" s="5" t="s">
        <v>26</v>
      </c>
    </row>
    <row r="18" customFormat="false" ht="15" hidden="false" customHeight="true" outlineLevel="0" collapsed="false">
      <c r="A18" s="9" t="s">
        <v>27</v>
      </c>
      <c r="B18" s="5" t="s">
        <v>28</v>
      </c>
    </row>
    <row r="19" customFormat="false" ht="15" hidden="false" customHeight="true" outlineLevel="0" collapsed="false">
      <c r="A19" s="10" t="s">
        <v>29</v>
      </c>
      <c r="B19" s="5" t="s">
        <v>30</v>
      </c>
    </row>
    <row r="20" customFormat="false" ht="15" hidden="false" customHeight="true" outlineLevel="0" collapsed="false">
      <c r="A20" s="4"/>
      <c r="B20" s="3"/>
    </row>
    <row r="21" customFormat="false" ht="15" hidden="false" customHeight="true" outlineLevel="0" collapsed="false">
      <c r="A21" s="6" t="s">
        <v>31</v>
      </c>
      <c r="B21" s="3"/>
    </row>
    <row r="22" customFormat="false" ht="15" hidden="false" customHeight="true" outlineLevel="0" collapsed="false">
      <c r="A22" s="4" t="s">
        <v>32</v>
      </c>
      <c r="B22" s="5" t="s">
        <v>33</v>
      </c>
    </row>
    <row r="23" customFormat="false" ht="15" hidden="false" customHeight="true" outlineLevel="0" collapsed="false">
      <c r="A23" s="4" t="s">
        <v>34</v>
      </c>
      <c r="B23" s="5" t="s">
        <v>35</v>
      </c>
    </row>
    <row r="24" customFormat="false" ht="15" hidden="false" customHeight="true" outlineLevel="0" collapsed="false">
      <c r="A24" s="11" t="s">
        <v>36</v>
      </c>
      <c r="B24" s="3" t="s">
        <v>37</v>
      </c>
    </row>
    <row r="25" customFormat="false" ht="15" hidden="false" customHeight="true" outlineLevel="0" collapsed="false">
      <c r="A25" s="4" t="s">
        <v>38</v>
      </c>
      <c r="B25" s="3" t="s">
        <v>39</v>
      </c>
    </row>
    <row r="26" customFormat="false" ht="15" hidden="false" customHeight="true" outlineLevel="0" collapsed="false">
      <c r="A26" s="4"/>
      <c r="B26" s="3"/>
    </row>
    <row r="27" customFormat="false" ht="15" hidden="false" customHeight="true" outlineLevel="0" collapsed="false">
      <c r="A27" s="4"/>
      <c r="B27" s="3"/>
    </row>
    <row r="28" customFormat="false" ht="15" hidden="false" customHeight="true" outlineLevel="0" collapsed="false">
      <c r="A28" s="4" t="s">
        <v>40</v>
      </c>
      <c r="B28" s="3" t="s">
        <v>41</v>
      </c>
    </row>
    <row r="29" customFormat="false" ht="29.25" hidden="false" customHeight="true" outlineLevel="0" collapsed="false">
      <c r="A29" s="4" t="s">
        <v>42</v>
      </c>
      <c r="B29" s="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10" min="9" style="1" width="34"/>
    <col collapsed="false" customWidth="true" hidden="false" outlineLevel="0" max="11" min="11" style="1" width="52"/>
  </cols>
  <sheetData>
    <row r="1" customFormat="false" ht="27.75" hidden="false" customHeight="true" outlineLevel="0" collapsed="false">
      <c r="A1" s="12" t="s">
        <v>44</v>
      </c>
      <c r="B1" s="13" t="s">
        <v>45</v>
      </c>
      <c r="C1" s="13" t="s">
        <v>46</v>
      </c>
      <c r="D1" s="13" t="s">
        <v>40</v>
      </c>
      <c r="E1" s="13" t="s">
        <v>47</v>
      </c>
      <c r="F1" s="12" t="s">
        <v>48</v>
      </c>
      <c r="G1" s="13" t="s">
        <v>49</v>
      </c>
      <c r="H1" s="13" t="s">
        <v>31</v>
      </c>
      <c r="I1" s="13" t="s">
        <v>50</v>
      </c>
      <c r="J1" s="12" t="s">
        <v>51</v>
      </c>
      <c r="K1" s="13" t="s">
        <v>52</v>
      </c>
    </row>
    <row r="2" customFormat="false" ht="15" hidden="false" customHeight="true" outlineLevel="0" collapsed="false">
      <c r="A2" s="14" t="s">
        <v>53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15" hidden="false" customHeight="true" outlineLevel="0" collapsed="false">
      <c r="A3" s="16" t="s">
        <v>54</v>
      </c>
      <c r="B3" s="17" t="s">
        <v>55</v>
      </c>
      <c r="C3" s="18" t="s">
        <v>56</v>
      </c>
      <c r="D3" s="16" t="s">
        <v>57</v>
      </c>
      <c r="E3" s="19" t="n">
        <v>0.6</v>
      </c>
      <c r="F3" s="19" t="n">
        <v>0.6</v>
      </c>
      <c r="G3" s="20" t="n">
        <v>0.6</v>
      </c>
      <c r="H3" s="17" t="s">
        <v>32</v>
      </c>
      <c r="I3" s="21" t="s">
        <v>58</v>
      </c>
      <c r="J3" s="21" t="s">
        <v>59</v>
      </c>
      <c r="K3" s="22" t="s">
        <v>60</v>
      </c>
    </row>
    <row r="4" customFormat="false" ht="15" hidden="false" customHeight="true" outlineLevel="0" collapsed="false">
      <c r="A4" s="16" t="s">
        <v>61</v>
      </c>
      <c r="B4" s="17" t="s">
        <v>55</v>
      </c>
      <c r="C4" s="18" t="s">
        <v>62</v>
      </c>
      <c r="D4" s="16" t="s">
        <v>63</v>
      </c>
      <c r="E4" s="19" t="n">
        <v>2.6</v>
      </c>
      <c r="F4" s="19" t="n">
        <v>2.6</v>
      </c>
      <c r="G4" s="20" t="n">
        <v>2.6</v>
      </c>
      <c r="H4" s="17" t="s">
        <v>32</v>
      </c>
      <c r="I4" s="21" t="s">
        <v>64</v>
      </c>
      <c r="J4" s="21" t="s">
        <v>65</v>
      </c>
      <c r="K4" s="23" t="s">
        <v>66</v>
      </c>
    </row>
    <row r="5" customFormat="false" ht="15" hidden="false" customHeight="true" outlineLevel="0" collapsed="false">
      <c r="A5" s="16" t="s">
        <v>67</v>
      </c>
      <c r="B5" s="17" t="s">
        <v>55</v>
      </c>
      <c r="C5" s="21" t="s">
        <v>68</v>
      </c>
      <c r="D5" s="16" t="s">
        <v>69</v>
      </c>
      <c r="E5" s="19" t="n">
        <v>0.7</v>
      </c>
      <c r="F5" s="19" t="n">
        <v>0.7</v>
      </c>
      <c r="G5" s="20" t="n">
        <v>0.7</v>
      </c>
      <c r="H5" s="17" t="s">
        <v>32</v>
      </c>
      <c r="I5" s="21" t="s">
        <v>70</v>
      </c>
      <c r="J5" s="21" t="s">
        <v>71</v>
      </c>
      <c r="K5" s="22" t="s">
        <v>72</v>
      </c>
    </row>
    <row r="6" customFormat="false" ht="15" hidden="false" customHeight="true" outlineLevel="0" collapsed="false">
      <c r="A6" s="16" t="s">
        <v>73</v>
      </c>
      <c r="B6" s="17" t="s">
        <v>55</v>
      </c>
      <c r="C6" s="18" t="s">
        <v>74</v>
      </c>
      <c r="D6" s="16" t="s">
        <v>75</v>
      </c>
      <c r="E6" s="19"/>
      <c r="F6" s="19" t="n">
        <v>18</v>
      </c>
      <c r="G6" s="20" t="n">
        <v>18</v>
      </c>
      <c r="H6" s="17" t="s">
        <v>34</v>
      </c>
      <c r="I6" s="21" t="s">
        <v>76</v>
      </c>
      <c r="J6" s="21" t="s">
        <v>77</v>
      </c>
      <c r="K6" s="22"/>
    </row>
    <row r="7" customFormat="false" ht="15" hidden="false" customHeight="true" outlineLevel="0" collapsed="false">
      <c r="A7" s="24" t="s">
        <v>78</v>
      </c>
      <c r="B7" s="25"/>
      <c r="C7" s="26"/>
      <c r="D7" s="25"/>
      <c r="E7" s="25"/>
      <c r="F7" s="25"/>
      <c r="G7" s="25"/>
      <c r="H7" s="25"/>
      <c r="I7" s="26"/>
      <c r="J7" s="26"/>
      <c r="K7" s="26"/>
    </row>
    <row r="8" customFormat="false" ht="15" hidden="false" customHeight="true" outlineLevel="0" collapsed="false">
      <c r="A8" s="16" t="s">
        <v>79</v>
      </c>
      <c r="B8" s="17" t="s">
        <v>55</v>
      </c>
      <c r="C8" s="18" t="s">
        <v>80</v>
      </c>
      <c r="D8" s="16" t="s">
        <v>57</v>
      </c>
      <c r="E8" s="19" t="n">
        <v>1.15</v>
      </c>
      <c r="F8" s="19"/>
      <c r="G8" s="20" t="n">
        <v>1.15</v>
      </c>
      <c r="H8" s="17" t="s">
        <v>32</v>
      </c>
      <c r="I8" s="21" t="s">
        <v>81</v>
      </c>
      <c r="J8" s="21" t="s">
        <v>82</v>
      </c>
      <c r="K8" s="22" t="s">
        <v>83</v>
      </c>
    </row>
    <row r="9" customFormat="false" ht="15" hidden="false" customHeight="true" outlineLevel="0" collapsed="false">
      <c r="A9" s="16" t="s">
        <v>84</v>
      </c>
      <c r="B9" s="17" t="s">
        <v>55</v>
      </c>
      <c r="C9" s="18" t="s">
        <v>85</v>
      </c>
      <c r="D9" s="17" t="s">
        <v>86</v>
      </c>
      <c r="E9" s="19" t="n">
        <v>0.12</v>
      </c>
      <c r="F9" s="19"/>
      <c r="G9" s="20" t="n">
        <v>0.12</v>
      </c>
      <c r="H9" s="17" t="s">
        <v>32</v>
      </c>
      <c r="I9" s="21" t="s">
        <v>87</v>
      </c>
      <c r="J9" s="21" t="s">
        <v>88</v>
      </c>
      <c r="K9" s="23" t="s">
        <v>89</v>
      </c>
    </row>
    <row r="10" customFormat="false" ht="15" hidden="false" customHeight="true" outlineLevel="0" collapsed="false">
      <c r="A10" s="16" t="s">
        <v>90</v>
      </c>
      <c r="B10" s="17" t="s">
        <v>55</v>
      </c>
      <c r="C10" s="18" t="s">
        <v>91</v>
      </c>
      <c r="D10" s="17" t="s">
        <v>86</v>
      </c>
      <c r="E10" s="19" t="n">
        <v>0.15</v>
      </c>
      <c r="F10" s="19"/>
      <c r="G10" s="20" t="n">
        <v>0.15</v>
      </c>
      <c r="H10" s="17" t="s">
        <v>32</v>
      </c>
      <c r="I10" s="21" t="s">
        <v>92</v>
      </c>
      <c r="J10" s="21" t="s">
        <v>93</v>
      </c>
      <c r="K10" s="23" t="s">
        <v>94</v>
      </c>
    </row>
    <row r="11" customFormat="false" ht="15" hidden="false" customHeight="true" outlineLevel="0" collapsed="false">
      <c r="A11" s="16" t="s">
        <v>95</v>
      </c>
      <c r="B11" s="17" t="s">
        <v>55</v>
      </c>
      <c r="C11" s="18" t="s">
        <v>96</v>
      </c>
      <c r="D11" s="16" t="s">
        <v>69</v>
      </c>
      <c r="E11" s="19" t="n">
        <v>1.7</v>
      </c>
      <c r="F11" s="19"/>
      <c r="G11" s="20" t="n">
        <v>1.7</v>
      </c>
      <c r="H11" s="17" t="s">
        <v>32</v>
      </c>
      <c r="I11" s="21" t="s">
        <v>97</v>
      </c>
      <c r="J11" s="21" t="s">
        <v>98</v>
      </c>
      <c r="K11" s="23" t="s">
        <v>99</v>
      </c>
    </row>
    <row r="12" customFormat="false" ht="15" hidden="false" customHeight="true" outlineLevel="0" collapsed="false">
      <c r="A12" s="24" t="s">
        <v>100</v>
      </c>
      <c r="B12" s="25"/>
      <c r="C12" s="26"/>
      <c r="D12" s="25"/>
      <c r="E12" s="25"/>
      <c r="F12" s="25"/>
      <c r="G12" s="25"/>
      <c r="H12" s="25"/>
      <c r="I12" s="26"/>
      <c r="J12" s="26"/>
      <c r="K12" s="26"/>
    </row>
    <row r="13" customFormat="false" ht="15" hidden="false" customHeight="true" outlineLevel="0" collapsed="false">
      <c r="A13" s="16" t="s">
        <v>101</v>
      </c>
      <c r="B13" s="17" t="s">
        <v>55</v>
      </c>
      <c r="C13" s="18" t="s">
        <v>102</v>
      </c>
      <c r="D13" s="16" t="s">
        <v>103</v>
      </c>
      <c r="E13" s="19" t="n">
        <v>0.625</v>
      </c>
      <c r="F13" s="19"/>
      <c r="G13" s="20" t="n">
        <v>0.625</v>
      </c>
      <c r="H13" s="17" t="s">
        <v>32</v>
      </c>
      <c r="I13" s="21" t="s">
        <v>104</v>
      </c>
      <c r="J13" s="21" t="s">
        <v>105</v>
      </c>
      <c r="K13" s="22" t="s">
        <v>106</v>
      </c>
    </row>
    <row r="14" customFormat="false" ht="15" hidden="false" customHeight="true" outlineLevel="0" collapsed="false">
      <c r="A14" s="16" t="s">
        <v>107</v>
      </c>
      <c r="B14" s="17" t="s">
        <v>55</v>
      </c>
      <c r="C14" s="18" t="s">
        <v>108</v>
      </c>
      <c r="D14" s="16" t="s">
        <v>57</v>
      </c>
      <c r="E14" s="19" t="n">
        <v>0.15</v>
      </c>
      <c r="F14" s="19"/>
      <c r="G14" s="20" t="n">
        <v>0.15</v>
      </c>
      <c r="H14" s="17" t="s">
        <v>32</v>
      </c>
      <c r="I14" s="21" t="s">
        <v>109</v>
      </c>
      <c r="J14" s="21" t="s">
        <v>110</v>
      </c>
      <c r="K14" s="23" t="s">
        <v>111</v>
      </c>
    </row>
    <row r="15" customFormat="false" ht="15" hidden="false" customHeight="true" outlineLevel="0" collapsed="false">
      <c r="A15" s="16" t="s">
        <v>112</v>
      </c>
      <c r="B15" s="17" t="s">
        <v>55</v>
      </c>
      <c r="C15" s="18" t="s">
        <v>113</v>
      </c>
      <c r="D15" s="16" t="s">
        <v>57</v>
      </c>
      <c r="E15" s="19" t="n">
        <v>0.6</v>
      </c>
      <c r="F15" s="19"/>
      <c r="G15" s="20" t="n">
        <v>0.6</v>
      </c>
      <c r="H15" s="17" t="s">
        <v>32</v>
      </c>
      <c r="I15" s="21" t="s">
        <v>114</v>
      </c>
      <c r="J15" s="21" t="s">
        <v>115</v>
      </c>
      <c r="K15" s="23" t="s">
        <v>116</v>
      </c>
    </row>
    <row r="16" customFormat="false" ht="15" hidden="false" customHeight="true" outlineLevel="0" collapsed="false">
      <c r="A16" s="24" t="s">
        <v>117</v>
      </c>
      <c r="B16" s="25"/>
      <c r="C16" s="26"/>
      <c r="D16" s="25"/>
      <c r="E16" s="25"/>
      <c r="F16" s="25"/>
      <c r="G16" s="25"/>
      <c r="H16" s="25"/>
      <c r="I16" s="26"/>
      <c r="J16" s="26"/>
      <c r="K16" s="26"/>
    </row>
    <row r="17" customFormat="false" ht="15" hidden="false" customHeight="true" outlineLevel="0" collapsed="false">
      <c r="A17" s="16" t="s">
        <v>118</v>
      </c>
      <c r="B17" s="17" t="s">
        <v>55</v>
      </c>
      <c r="C17" s="18" t="s">
        <v>119</v>
      </c>
      <c r="D17" s="17" t="s">
        <v>120</v>
      </c>
      <c r="E17" s="19" t="n">
        <v>0.2</v>
      </c>
      <c r="F17" s="19" t="n">
        <v>0.2</v>
      </c>
      <c r="G17" s="20" t="n">
        <v>0.2</v>
      </c>
      <c r="H17" s="17" t="s">
        <v>32</v>
      </c>
      <c r="I17" s="21" t="s">
        <v>121</v>
      </c>
      <c r="J17" s="21" t="s">
        <v>122</v>
      </c>
      <c r="K17" s="22"/>
    </row>
    <row r="18" customFormat="false" ht="15" hidden="false" customHeight="true" outlineLevel="0" collapsed="false">
      <c r="A18" s="27" t="s">
        <v>123</v>
      </c>
      <c r="B18" s="28" t="s">
        <v>55</v>
      </c>
      <c r="C18" s="28" t="s">
        <v>124</v>
      </c>
      <c r="D18" s="28" t="s">
        <v>86</v>
      </c>
      <c r="E18" s="29"/>
      <c r="F18" s="29" t="n">
        <v>0.35</v>
      </c>
      <c r="G18" s="30" t="n">
        <v>0.35</v>
      </c>
      <c r="H18" s="28" t="s">
        <v>34</v>
      </c>
      <c r="I18" s="27" t="s">
        <v>125</v>
      </c>
      <c r="J18" s="27" t="s">
        <v>126</v>
      </c>
      <c r="K18" s="22"/>
    </row>
    <row r="19" customFormat="false" ht="15" hidden="false" customHeight="true" outlineLevel="0" collapsed="false">
      <c r="A19" s="16" t="s">
        <v>127</v>
      </c>
      <c r="B19" s="17" t="s">
        <v>55</v>
      </c>
      <c r="C19" s="18" t="s">
        <v>128</v>
      </c>
      <c r="D19" s="17" t="s">
        <v>86</v>
      </c>
      <c r="E19" s="19" t="n">
        <v>2</v>
      </c>
      <c r="F19" s="19" t="n">
        <v>2</v>
      </c>
      <c r="G19" s="20" t="n">
        <v>2</v>
      </c>
      <c r="H19" s="17" t="s">
        <v>32</v>
      </c>
      <c r="I19" s="21" t="s">
        <v>129</v>
      </c>
      <c r="J19" s="21" t="s">
        <v>130</v>
      </c>
      <c r="K19" s="22"/>
    </row>
    <row r="20" customFormat="false" ht="15" hidden="false" customHeight="true" outlineLevel="0" collapsed="false">
      <c r="A20" s="16" t="s">
        <v>131</v>
      </c>
      <c r="B20" s="17" t="s">
        <v>55</v>
      </c>
      <c r="C20" s="18" t="s">
        <v>132</v>
      </c>
      <c r="D20" s="17" t="s">
        <v>86</v>
      </c>
      <c r="E20" s="19" t="n">
        <v>1.3</v>
      </c>
      <c r="F20" s="19" t="n">
        <v>1.3</v>
      </c>
      <c r="G20" s="20" t="n">
        <v>1.3</v>
      </c>
      <c r="H20" s="17" t="s">
        <v>32</v>
      </c>
      <c r="I20" s="21" t="s">
        <v>133</v>
      </c>
      <c r="J20" s="21" t="s">
        <v>134</v>
      </c>
      <c r="K20" s="22" t="s">
        <v>135</v>
      </c>
    </row>
    <row r="21" customFormat="false" ht="15" hidden="false" customHeight="true" outlineLevel="0" collapsed="false">
      <c r="A21" s="16" t="s">
        <v>136</v>
      </c>
      <c r="B21" s="17" t="s">
        <v>55</v>
      </c>
      <c r="C21" s="18" t="s">
        <v>137</v>
      </c>
      <c r="D21" s="17" t="s">
        <v>86</v>
      </c>
      <c r="E21" s="19" t="n">
        <v>3</v>
      </c>
      <c r="F21" s="19" t="n">
        <v>3</v>
      </c>
      <c r="G21" s="20" t="n">
        <v>3</v>
      </c>
      <c r="H21" s="17" t="s">
        <v>32</v>
      </c>
      <c r="I21" s="21" t="s">
        <v>138</v>
      </c>
      <c r="J21" s="21" t="s">
        <v>139</v>
      </c>
      <c r="K21" s="22"/>
    </row>
    <row r="22" customFormat="false" ht="15" hidden="false" customHeight="true" outlineLevel="0" collapsed="false">
      <c r="A22" s="16" t="s">
        <v>140</v>
      </c>
      <c r="B22" s="17" t="s">
        <v>55</v>
      </c>
      <c r="C22" s="18" t="s">
        <v>141</v>
      </c>
      <c r="D22" s="17" t="s">
        <v>86</v>
      </c>
      <c r="E22" s="19"/>
      <c r="F22" s="19" t="n">
        <v>0.8</v>
      </c>
      <c r="G22" s="20" t="n">
        <v>0.8</v>
      </c>
      <c r="H22" s="17" t="s">
        <v>34</v>
      </c>
      <c r="I22" s="21" t="s">
        <v>142</v>
      </c>
      <c r="J22" s="21" t="s">
        <v>143</v>
      </c>
      <c r="K22" s="23" t="s">
        <v>144</v>
      </c>
    </row>
    <row r="23" customFormat="false" ht="15" hidden="false" customHeight="true" outlineLevel="0" collapsed="false">
      <c r="A23" s="16" t="s">
        <v>145</v>
      </c>
      <c r="B23" s="17" t="s">
        <v>55</v>
      </c>
      <c r="C23" s="18" t="s">
        <v>146</v>
      </c>
      <c r="D23" s="17" t="s">
        <v>86</v>
      </c>
      <c r="E23" s="19" t="n">
        <v>3</v>
      </c>
      <c r="F23" s="19"/>
      <c r="G23" s="20" t="n">
        <v>3</v>
      </c>
      <c r="H23" s="17" t="s">
        <v>32</v>
      </c>
      <c r="I23" s="21" t="s">
        <v>147</v>
      </c>
      <c r="J23" s="21" t="s">
        <v>148</v>
      </c>
      <c r="K23" s="22"/>
    </row>
    <row r="24" customFormat="false" ht="15" hidden="false" customHeight="true" outlineLevel="0" collapsed="false">
      <c r="A24" s="16" t="s">
        <v>149</v>
      </c>
      <c r="B24" s="17" t="s">
        <v>55</v>
      </c>
      <c r="C24" s="18" t="s">
        <v>150</v>
      </c>
      <c r="D24" s="16" t="s">
        <v>75</v>
      </c>
      <c r="E24" s="19"/>
      <c r="F24" s="19"/>
      <c r="G24" s="20" t="n">
        <v>6</v>
      </c>
      <c r="H24" s="17" t="s">
        <v>34</v>
      </c>
      <c r="I24" s="21" t="s">
        <v>151</v>
      </c>
      <c r="J24" s="21" t="s">
        <v>152</v>
      </c>
      <c r="K24" s="23" t="s">
        <v>153</v>
      </c>
    </row>
    <row r="25" customFormat="false" ht="15" hidden="false" customHeight="true" outlineLevel="0" collapsed="false">
      <c r="A25" s="16" t="s">
        <v>154</v>
      </c>
      <c r="B25" s="17" t="s">
        <v>55</v>
      </c>
      <c r="C25" s="18" t="s">
        <v>155</v>
      </c>
      <c r="D25" s="16" t="s">
        <v>63</v>
      </c>
      <c r="E25" s="19"/>
      <c r="F25" s="19"/>
      <c r="G25" s="20" t="n">
        <v>1.6</v>
      </c>
      <c r="H25" s="17" t="s">
        <v>34</v>
      </c>
      <c r="I25" s="21" t="s">
        <v>125</v>
      </c>
      <c r="J25" s="21" t="s">
        <v>156</v>
      </c>
      <c r="K25" s="22"/>
    </row>
    <row r="26" customFormat="false" ht="15" hidden="false" customHeight="true" outlineLevel="0" collapsed="false">
      <c r="A26" s="24" t="s">
        <v>157</v>
      </c>
      <c r="B26" s="25"/>
      <c r="C26" s="26"/>
      <c r="D26" s="25"/>
      <c r="E26" s="25"/>
      <c r="F26" s="25"/>
      <c r="G26" s="25"/>
      <c r="H26" s="25"/>
      <c r="I26" s="26"/>
      <c r="J26" s="26"/>
      <c r="K26" s="26"/>
    </row>
    <row r="27" customFormat="false" ht="15" hidden="false" customHeight="true" outlineLevel="0" collapsed="false">
      <c r="A27" s="16" t="s">
        <v>158</v>
      </c>
      <c r="B27" s="17" t="s">
        <v>55</v>
      </c>
      <c r="C27" s="18" t="s">
        <v>159</v>
      </c>
      <c r="D27" s="17" t="s">
        <v>86</v>
      </c>
      <c r="E27" s="19" t="n">
        <v>1.8</v>
      </c>
      <c r="F27" s="19"/>
      <c r="G27" s="20" t="n">
        <v>1.8</v>
      </c>
      <c r="H27" s="17" t="s">
        <v>32</v>
      </c>
      <c r="I27" s="21" t="s">
        <v>160</v>
      </c>
      <c r="J27" s="21" t="s">
        <v>161</v>
      </c>
      <c r="K27" s="23" t="s">
        <v>162</v>
      </c>
    </row>
    <row r="28" customFormat="false" ht="15" hidden="false" customHeight="true" outlineLevel="0" collapsed="false">
      <c r="A28" s="16" t="s">
        <v>163</v>
      </c>
      <c r="B28" s="17" t="s">
        <v>55</v>
      </c>
      <c r="C28" s="18" t="s">
        <v>164</v>
      </c>
      <c r="D28" s="16" t="s">
        <v>165</v>
      </c>
      <c r="E28" s="19" t="n">
        <v>0.4</v>
      </c>
      <c r="F28" s="19"/>
      <c r="G28" s="20" t="n">
        <v>0.4</v>
      </c>
      <c r="H28" s="17" t="s">
        <v>32</v>
      </c>
      <c r="I28" s="21" t="s">
        <v>166</v>
      </c>
      <c r="J28" s="21" t="s">
        <v>167</v>
      </c>
      <c r="K28" s="22"/>
    </row>
    <row r="29" customFormat="false" ht="15" hidden="false" customHeight="true" outlineLevel="0" collapsed="false">
      <c r="A29" s="16" t="s">
        <v>168</v>
      </c>
      <c r="B29" s="17" t="s">
        <v>55</v>
      </c>
      <c r="C29" s="18" t="s">
        <v>169</v>
      </c>
      <c r="D29" s="16" t="s">
        <v>63</v>
      </c>
      <c r="E29" s="19"/>
      <c r="F29" s="19"/>
      <c r="G29" s="20" t="n">
        <v>6.5</v>
      </c>
      <c r="H29" s="17" t="s">
        <v>34</v>
      </c>
      <c r="I29" s="21" t="s">
        <v>170</v>
      </c>
      <c r="J29" s="21" t="s">
        <v>171</v>
      </c>
      <c r="K29" s="23" t="s">
        <v>172</v>
      </c>
    </row>
    <row r="30" customFormat="false" ht="15" hidden="false" customHeight="true" outlineLevel="0" collapsed="false">
      <c r="A30" s="16" t="s">
        <v>173</v>
      </c>
      <c r="B30" s="17" t="s">
        <v>55</v>
      </c>
      <c r="C30" s="18" t="s">
        <v>174</v>
      </c>
      <c r="D30" s="17" t="s">
        <v>86</v>
      </c>
      <c r="E30" s="19" t="n">
        <v>2</v>
      </c>
      <c r="F30" s="19"/>
      <c r="G30" s="20" t="n">
        <v>2</v>
      </c>
      <c r="H30" s="17" t="s">
        <v>32</v>
      </c>
      <c r="I30" s="21" t="s">
        <v>175</v>
      </c>
      <c r="J30" s="21" t="s">
        <v>176</v>
      </c>
      <c r="K30" s="22"/>
    </row>
    <row r="31" customFormat="false" ht="15" hidden="false" customHeight="true" outlineLevel="0" collapsed="false">
      <c r="A31" s="24" t="s">
        <v>177</v>
      </c>
      <c r="B31" s="25"/>
      <c r="C31" s="26"/>
      <c r="D31" s="25"/>
      <c r="E31" s="25"/>
      <c r="F31" s="25"/>
      <c r="G31" s="25"/>
      <c r="H31" s="25"/>
      <c r="I31" s="26"/>
      <c r="J31" s="26"/>
      <c r="K31" s="26"/>
    </row>
    <row r="32" customFormat="false" ht="15" hidden="false" customHeight="true" outlineLevel="0" collapsed="false">
      <c r="A32" s="27" t="s">
        <v>178</v>
      </c>
      <c r="B32" s="28" t="s">
        <v>179</v>
      </c>
      <c r="C32" s="28" t="s">
        <v>180</v>
      </c>
      <c r="D32" s="27" t="s">
        <v>181</v>
      </c>
      <c r="E32" s="29" t="n">
        <v>10</v>
      </c>
      <c r="F32" s="29" t="n">
        <v>10</v>
      </c>
      <c r="G32" s="30" t="n">
        <v>10</v>
      </c>
      <c r="H32" s="28" t="s">
        <v>32</v>
      </c>
      <c r="I32" s="27" t="s">
        <v>182</v>
      </c>
      <c r="J32" s="27" t="s">
        <v>183</v>
      </c>
      <c r="K32" s="22"/>
    </row>
    <row r="33" customFormat="false" ht="15" hidden="false" customHeight="true" outlineLevel="0" collapsed="false">
      <c r="A33" s="16" t="s">
        <v>184</v>
      </c>
      <c r="B33" s="17" t="s">
        <v>179</v>
      </c>
      <c r="C33" s="18" t="s">
        <v>185</v>
      </c>
      <c r="D33" s="16" t="s">
        <v>181</v>
      </c>
      <c r="E33" s="19" t="n">
        <v>90</v>
      </c>
      <c r="F33" s="19" t="n">
        <v>90</v>
      </c>
      <c r="G33" s="20" t="n">
        <v>90</v>
      </c>
      <c r="H33" s="17" t="s">
        <v>32</v>
      </c>
      <c r="I33" s="21" t="s">
        <v>186</v>
      </c>
      <c r="J33" s="21" t="s">
        <v>187</v>
      </c>
      <c r="K33" s="23" t="s">
        <v>188</v>
      </c>
    </row>
    <row r="34" customFormat="false" ht="15" hidden="false" customHeight="true" outlineLevel="0" collapsed="false">
      <c r="A34" s="16" t="s">
        <v>189</v>
      </c>
      <c r="B34" s="17" t="s">
        <v>179</v>
      </c>
      <c r="C34" s="18" t="s">
        <v>190</v>
      </c>
      <c r="D34" s="16" t="s">
        <v>181</v>
      </c>
      <c r="E34" s="19" t="n">
        <v>100</v>
      </c>
      <c r="F34" s="19" t="n">
        <v>100</v>
      </c>
      <c r="G34" s="20" t="n">
        <v>100</v>
      </c>
      <c r="H34" s="17" t="s">
        <v>32</v>
      </c>
      <c r="I34" s="21" t="s">
        <v>191</v>
      </c>
      <c r="J34" s="21" t="s">
        <v>192</v>
      </c>
      <c r="K34" s="22"/>
    </row>
    <row r="35" customFormat="false" ht="15" hidden="false" customHeight="true" outlineLevel="0" collapsed="false">
      <c r="A35" s="16" t="s">
        <v>193</v>
      </c>
      <c r="B35" s="17" t="s">
        <v>179</v>
      </c>
      <c r="C35" s="18" t="s">
        <v>194</v>
      </c>
      <c r="D35" s="17" t="s">
        <v>195</v>
      </c>
      <c r="E35" s="19" t="n">
        <v>32</v>
      </c>
      <c r="F35" s="19" t="n">
        <v>32</v>
      </c>
      <c r="G35" s="20" t="n">
        <v>32</v>
      </c>
      <c r="H35" s="17" t="s">
        <v>32</v>
      </c>
      <c r="I35" s="21" t="s">
        <v>196</v>
      </c>
      <c r="J35" s="21" t="s">
        <v>197</v>
      </c>
      <c r="K35" s="23" t="s">
        <v>198</v>
      </c>
    </row>
    <row r="36" customFormat="false" ht="15" hidden="false" customHeight="true" outlineLevel="0" collapsed="false">
      <c r="A36" s="16" t="s">
        <v>199</v>
      </c>
      <c r="B36" s="17" t="s">
        <v>179</v>
      </c>
      <c r="C36" s="18" t="s">
        <v>200</v>
      </c>
      <c r="D36" s="17" t="s">
        <v>86</v>
      </c>
      <c r="E36" s="19" t="n">
        <v>1</v>
      </c>
      <c r="F36" s="19" t="n">
        <v>1</v>
      </c>
      <c r="G36" s="20" t="n">
        <v>1</v>
      </c>
      <c r="H36" s="17" t="s">
        <v>32</v>
      </c>
      <c r="I36" s="21" t="s">
        <v>201</v>
      </c>
      <c r="J36" s="21" t="s">
        <v>202</v>
      </c>
      <c r="K36" s="22"/>
    </row>
    <row r="37" customFormat="false" ht="15" hidden="false" customHeight="true" outlineLevel="0" collapsed="false">
      <c r="A37" s="27" t="s">
        <v>203</v>
      </c>
      <c r="B37" s="28" t="s">
        <v>179</v>
      </c>
      <c r="C37" s="28" t="s">
        <v>204</v>
      </c>
      <c r="D37" s="28" t="s">
        <v>86</v>
      </c>
      <c r="E37" s="29" t="n">
        <v>0.75</v>
      </c>
      <c r="F37" s="29" t="n">
        <v>0.75</v>
      </c>
      <c r="G37" s="30" t="n">
        <v>0.75</v>
      </c>
      <c r="H37" s="28" t="s">
        <v>32</v>
      </c>
      <c r="I37" s="27" t="s">
        <v>205</v>
      </c>
      <c r="J37" s="27" t="s">
        <v>206</v>
      </c>
      <c r="K37" s="22"/>
    </row>
    <row r="38" customFormat="false" ht="15" hidden="false" customHeight="true" outlineLevel="0" collapsed="false">
      <c r="A38" s="16" t="s">
        <v>207</v>
      </c>
      <c r="B38" s="17" t="s">
        <v>179</v>
      </c>
      <c r="C38" s="18" t="s">
        <v>208</v>
      </c>
      <c r="D38" s="16"/>
      <c r="E38" s="19"/>
      <c r="F38" s="19" t="n">
        <v>10</v>
      </c>
      <c r="G38" s="20" t="n">
        <v>10</v>
      </c>
      <c r="H38" s="17" t="s">
        <v>34</v>
      </c>
      <c r="I38" s="21" t="s">
        <v>209</v>
      </c>
      <c r="J38" s="21" t="s">
        <v>210</v>
      </c>
      <c r="K38" s="22"/>
    </row>
    <row r="39" customFormat="false" ht="15" hidden="false" customHeight="true" outlineLevel="0" collapsed="false">
      <c r="A39" s="16" t="s">
        <v>211</v>
      </c>
      <c r="B39" s="17" t="s">
        <v>179</v>
      </c>
      <c r="C39" s="18" t="s">
        <v>212</v>
      </c>
      <c r="D39" s="16" t="s">
        <v>69</v>
      </c>
      <c r="E39" s="19"/>
      <c r="F39" s="19" t="n">
        <v>1.08</v>
      </c>
      <c r="G39" s="20" t="n">
        <v>1.08</v>
      </c>
      <c r="H39" s="17" t="s">
        <v>34</v>
      </c>
      <c r="I39" s="21" t="s">
        <v>213</v>
      </c>
      <c r="J39" s="21" t="s">
        <v>214</v>
      </c>
      <c r="K39" s="23" t="s">
        <v>215</v>
      </c>
    </row>
    <row r="40" customFormat="false" ht="15" hidden="false" customHeight="true" outlineLevel="0" collapsed="false">
      <c r="A40" s="16" t="s">
        <v>216</v>
      </c>
      <c r="B40" s="17" t="s">
        <v>179</v>
      </c>
      <c r="C40" s="18" t="s">
        <v>217</v>
      </c>
      <c r="D40" s="16" t="s">
        <v>57</v>
      </c>
      <c r="E40" s="19" t="n">
        <v>2.5</v>
      </c>
      <c r="F40" s="19" t="n">
        <v>2.5</v>
      </c>
      <c r="G40" s="20" t="n">
        <v>2.5</v>
      </c>
      <c r="H40" s="17" t="s">
        <v>32</v>
      </c>
      <c r="I40" s="21" t="s">
        <v>218</v>
      </c>
      <c r="J40" s="21" t="s">
        <v>219</v>
      </c>
      <c r="K40" s="23" t="s">
        <v>220</v>
      </c>
    </row>
    <row r="41" customFormat="false" ht="15" hidden="false" customHeight="true" outlineLevel="0" collapsed="false">
      <c r="A41" s="16" t="s">
        <v>221</v>
      </c>
      <c r="B41" s="17" t="s">
        <v>179</v>
      </c>
      <c r="C41" s="18" t="s">
        <v>222</v>
      </c>
      <c r="D41" s="16" t="s">
        <v>223</v>
      </c>
      <c r="E41" s="19"/>
      <c r="F41" s="19"/>
      <c r="G41" s="20" t="n">
        <v>3.2</v>
      </c>
      <c r="H41" s="17" t="s">
        <v>34</v>
      </c>
      <c r="I41" s="21" t="s">
        <v>224</v>
      </c>
      <c r="J41" s="21" t="s">
        <v>225</v>
      </c>
      <c r="K41" s="22" t="s">
        <v>226</v>
      </c>
    </row>
    <row r="42" customFormat="false" ht="15" hidden="false" customHeight="true" outlineLevel="0" collapsed="false">
      <c r="A42" s="16" t="s">
        <v>227</v>
      </c>
      <c r="B42" s="17" t="s">
        <v>179</v>
      </c>
      <c r="C42" s="18" t="s">
        <v>228</v>
      </c>
      <c r="D42" s="16" t="s">
        <v>57</v>
      </c>
      <c r="E42" s="19"/>
      <c r="F42" s="19"/>
      <c r="G42" s="20" t="n">
        <v>0.05</v>
      </c>
      <c r="H42" s="17" t="s">
        <v>34</v>
      </c>
      <c r="I42" s="21" t="s">
        <v>229</v>
      </c>
      <c r="J42" s="21" t="s">
        <v>230</v>
      </c>
      <c r="K42" s="23" t="s">
        <v>231</v>
      </c>
    </row>
    <row r="43" customFormat="false" ht="15" hidden="false" customHeight="true" outlineLevel="0" collapsed="false">
      <c r="A43" s="16" t="s">
        <v>232</v>
      </c>
      <c r="B43" s="17" t="s">
        <v>179</v>
      </c>
      <c r="C43" s="18" t="s">
        <v>233</v>
      </c>
      <c r="D43" s="16" t="s">
        <v>63</v>
      </c>
      <c r="E43" s="19"/>
      <c r="F43" s="19"/>
      <c r="G43" s="20" t="n">
        <v>0.8</v>
      </c>
      <c r="H43" s="17" t="s">
        <v>34</v>
      </c>
      <c r="I43" s="21" t="s">
        <v>234</v>
      </c>
      <c r="J43" s="21" t="s">
        <v>235</v>
      </c>
      <c r="K43" s="23" t="s">
        <v>236</v>
      </c>
    </row>
    <row r="44" customFormat="false" ht="15" hidden="false" customHeight="true" outlineLevel="0" collapsed="false">
      <c r="A44" s="16" t="s">
        <v>237</v>
      </c>
      <c r="B44" s="17" t="s">
        <v>179</v>
      </c>
      <c r="C44" s="18" t="s">
        <v>238</v>
      </c>
      <c r="D44" s="16" t="s">
        <v>57</v>
      </c>
      <c r="E44" s="19"/>
      <c r="F44" s="19"/>
      <c r="G44" s="20" t="n">
        <v>0.35</v>
      </c>
      <c r="H44" s="17" t="s">
        <v>34</v>
      </c>
      <c r="I44" s="21" t="s">
        <v>234</v>
      </c>
      <c r="J44" s="21" t="s">
        <v>239</v>
      </c>
      <c r="K44" s="22"/>
    </row>
    <row r="45" customFormat="false" ht="15" hidden="false" customHeight="true" outlineLevel="0" collapsed="false">
      <c r="A45" s="16" t="s">
        <v>240</v>
      </c>
      <c r="B45" s="17" t="s">
        <v>179</v>
      </c>
      <c r="C45" s="18" t="s">
        <v>241</v>
      </c>
      <c r="D45" s="17" t="s">
        <v>86</v>
      </c>
      <c r="E45" s="19"/>
      <c r="F45" s="19"/>
      <c r="G45" s="20" t="n">
        <v>0.06</v>
      </c>
      <c r="H45" s="17" t="s">
        <v>34</v>
      </c>
      <c r="I45" s="21" t="s">
        <v>234</v>
      </c>
      <c r="J45" s="21" t="s">
        <v>242</v>
      </c>
      <c r="K45" s="22" t="s">
        <v>243</v>
      </c>
    </row>
    <row r="46" customFormat="false" ht="15" hidden="false" customHeight="true" outlineLevel="0" collapsed="false">
      <c r="A46" s="27" t="s">
        <v>244</v>
      </c>
      <c r="B46" s="28" t="s">
        <v>179</v>
      </c>
      <c r="C46" s="28" t="s">
        <v>245</v>
      </c>
      <c r="D46" s="27" t="s">
        <v>57</v>
      </c>
      <c r="E46" s="29"/>
      <c r="F46" s="29" t="n">
        <v>0.36</v>
      </c>
      <c r="G46" s="30" t="n">
        <v>0.36</v>
      </c>
      <c r="H46" s="28" t="s">
        <v>34</v>
      </c>
      <c r="I46" s="27" t="s">
        <v>246</v>
      </c>
      <c r="J46" s="27" t="s">
        <v>247</v>
      </c>
      <c r="K46" s="23" t="s">
        <v>248</v>
      </c>
    </row>
    <row r="47" customFormat="false" ht="15" hidden="false" customHeight="true" outlineLevel="0" collapsed="false">
      <c r="A47" s="16" t="s">
        <v>249</v>
      </c>
      <c r="B47" s="17" t="s">
        <v>179</v>
      </c>
      <c r="C47" s="21" t="s">
        <v>250</v>
      </c>
      <c r="D47" s="16" t="s">
        <v>251</v>
      </c>
      <c r="E47" s="19"/>
      <c r="F47" s="19" t="n">
        <v>0.025</v>
      </c>
      <c r="G47" s="20" t="n">
        <v>0.025</v>
      </c>
      <c r="H47" s="17" t="s">
        <v>34</v>
      </c>
      <c r="I47" s="21" t="s">
        <v>246</v>
      </c>
      <c r="J47" s="21" t="s">
        <v>252</v>
      </c>
      <c r="K47" s="22"/>
    </row>
    <row r="48" customFormat="false" ht="15" hidden="false" customHeight="true" outlineLevel="0" collapsed="false">
      <c r="A48" s="16" t="s">
        <v>253</v>
      </c>
      <c r="B48" s="17" t="s">
        <v>179</v>
      </c>
      <c r="C48" s="18" t="s">
        <v>254</v>
      </c>
      <c r="D48" s="16"/>
      <c r="E48" s="19"/>
      <c r="F48" s="19" t="n">
        <v>0.6</v>
      </c>
      <c r="G48" s="20" t="n">
        <v>0.6</v>
      </c>
      <c r="H48" s="17" t="s">
        <v>34</v>
      </c>
      <c r="I48" s="21" t="s">
        <v>255</v>
      </c>
      <c r="J48" s="21" t="s">
        <v>256</v>
      </c>
      <c r="K48" s="22"/>
    </row>
    <row r="49" customFormat="false" ht="15" hidden="false" customHeight="true" outlineLevel="0" collapsed="false">
      <c r="A49" s="24" t="s">
        <v>257</v>
      </c>
      <c r="B49" s="25"/>
      <c r="C49" s="26"/>
      <c r="D49" s="25"/>
      <c r="E49" s="25"/>
      <c r="F49" s="25"/>
      <c r="G49" s="25"/>
      <c r="H49" s="25"/>
      <c r="I49" s="26"/>
      <c r="J49" s="26"/>
      <c r="K49" s="26"/>
    </row>
    <row r="50" customFormat="false" ht="15" hidden="false" customHeight="true" outlineLevel="0" collapsed="false">
      <c r="A50" s="16" t="s">
        <v>258</v>
      </c>
      <c r="B50" s="17" t="s">
        <v>259</v>
      </c>
      <c r="C50" s="18" t="s">
        <v>260</v>
      </c>
      <c r="D50" s="16" t="s">
        <v>57</v>
      </c>
      <c r="E50" s="19" t="n">
        <v>1.5</v>
      </c>
      <c r="F50" s="19" t="n">
        <v>1.5</v>
      </c>
      <c r="G50" s="20" t="n">
        <v>1.5</v>
      </c>
      <c r="H50" s="17" t="s">
        <v>32</v>
      </c>
      <c r="I50" s="21" t="s">
        <v>261</v>
      </c>
      <c r="J50" s="21" t="s">
        <v>262</v>
      </c>
      <c r="K50" s="23" t="s">
        <v>263</v>
      </c>
    </row>
    <row r="51" customFormat="false" ht="15" hidden="false" customHeight="true" outlineLevel="0" collapsed="false">
      <c r="A51" s="16" t="s">
        <v>264</v>
      </c>
      <c r="B51" s="17" t="s">
        <v>259</v>
      </c>
      <c r="C51" s="18" t="s">
        <v>265</v>
      </c>
      <c r="D51" s="16" t="s">
        <v>63</v>
      </c>
      <c r="E51" s="19"/>
      <c r="F51" s="19" t="n">
        <v>1.1</v>
      </c>
      <c r="G51" s="20" t="n">
        <v>1.1</v>
      </c>
      <c r="H51" s="17" t="s">
        <v>34</v>
      </c>
      <c r="I51" s="21" t="s">
        <v>266</v>
      </c>
      <c r="J51" s="21" t="s">
        <v>267</v>
      </c>
      <c r="K51" s="22"/>
    </row>
    <row r="52" customFormat="false" ht="15" hidden="false" customHeight="true" outlineLevel="0" collapsed="false">
      <c r="A52" s="16" t="s">
        <v>268</v>
      </c>
      <c r="B52" s="17" t="s">
        <v>259</v>
      </c>
      <c r="C52" s="18" t="s">
        <v>269</v>
      </c>
      <c r="D52" s="16" t="s">
        <v>57</v>
      </c>
      <c r="E52" s="19"/>
      <c r="F52" s="19" t="n">
        <v>2.2</v>
      </c>
      <c r="G52" s="20" t="n">
        <v>2.2</v>
      </c>
      <c r="H52" s="17" t="s">
        <v>34</v>
      </c>
      <c r="I52" s="21" t="s">
        <v>270</v>
      </c>
      <c r="J52" s="21" t="s">
        <v>271</v>
      </c>
      <c r="K52" s="22"/>
    </row>
    <row r="53" customFormat="false" ht="15" hidden="false" customHeight="true" outlineLevel="0" collapsed="false">
      <c r="A53" s="16" t="s">
        <v>272</v>
      </c>
      <c r="B53" s="17" t="s">
        <v>259</v>
      </c>
      <c r="C53" s="18" t="s">
        <v>273</v>
      </c>
      <c r="D53" s="17" t="s">
        <v>86</v>
      </c>
      <c r="E53" s="19" t="n">
        <v>5</v>
      </c>
      <c r="F53" s="19"/>
      <c r="G53" s="20" t="n">
        <v>5</v>
      </c>
      <c r="H53" s="17" t="s">
        <v>32</v>
      </c>
      <c r="I53" s="21" t="s">
        <v>274</v>
      </c>
      <c r="J53" s="21" t="s">
        <v>275</v>
      </c>
      <c r="K53" s="22" t="s">
        <v>276</v>
      </c>
    </row>
    <row r="54" customFormat="false" ht="15" hidden="false" customHeight="true" outlineLevel="0" collapsed="false">
      <c r="A54" s="16" t="s">
        <v>277</v>
      </c>
      <c r="B54" s="17" t="s">
        <v>259</v>
      </c>
      <c r="C54" s="18" t="s">
        <v>278</v>
      </c>
      <c r="D54" s="17" t="s">
        <v>86</v>
      </c>
      <c r="E54" s="19" t="n">
        <v>1.5</v>
      </c>
      <c r="F54" s="19"/>
      <c r="G54" s="20" t="n">
        <v>1.5</v>
      </c>
      <c r="H54" s="17" t="s">
        <v>32</v>
      </c>
      <c r="I54" s="21" t="s">
        <v>279</v>
      </c>
      <c r="J54" s="21" t="s">
        <v>280</v>
      </c>
      <c r="K54" s="22"/>
    </row>
    <row r="55" customFormat="false" ht="15" hidden="false" customHeight="true" outlineLevel="0" collapsed="false">
      <c r="A55" s="16" t="s">
        <v>281</v>
      </c>
      <c r="B55" s="17" t="s">
        <v>259</v>
      </c>
      <c r="C55" s="18" t="s">
        <v>282</v>
      </c>
      <c r="D55" s="16" t="s">
        <v>57</v>
      </c>
      <c r="E55" s="19"/>
      <c r="F55" s="19"/>
      <c r="G55" s="20" t="n">
        <v>1.2</v>
      </c>
      <c r="H55" s="17" t="s">
        <v>34</v>
      </c>
      <c r="I55" s="21" t="s">
        <v>283</v>
      </c>
      <c r="J55" s="21" t="s">
        <v>284</v>
      </c>
      <c r="K55" s="22" t="s">
        <v>285</v>
      </c>
    </row>
    <row r="56" customFormat="false" ht="15" hidden="false" customHeight="true" outlineLevel="0" collapsed="false">
      <c r="A56" s="24" t="s">
        <v>286</v>
      </c>
      <c r="B56" s="25"/>
      <c r="C56" s="26"/>
      <c r="D56" s="25"/>
      <c r="E56" s="25"/>
      <c r="F56" s="25"/>
      <c r="G56" s="25"/>
      <c r="H56" s="25"/>
      <c r="I56" s="26"/>
      <c r="J56" s="26"/>
      <c r="K56" s="26"/>
    </row>
    <row r="57" customFormat="false" ht="15" hidden="false" customHeight="true" outlineLevel="0" collapsed="false">
      <c r="A57" s="16" t="s">
        <v>287</v>
      </c>
      <c r="B57" s="17" t="s">
        <v>288</v>
      </c>
      <c r="C57" s="18" t="s">
        <v>289</v>
      </c>
      <c r="D57" s="16" t="s">
        <v>63</v>
      </c>
      <c r="E57" s="19"/>
      <c r="F57" s="19" t="n">
        <v>1.8</v>
      </c>
      <c r="G57" s="20" t="n">
        <v>1.8</v>
      </c>
      <c r="H57" s="17" t="s">
        <v>34</v>
      </c>
      <c r="I57" s="21" t="s">
        <v>290</v>
      </c>
      <c r="J57" s="21" t="s">
        <v>291</v>
      </c>
      <c r="K57" s="23" t="s">
        <v>292</v>
      </c>
    </row>
    <row r="58" customFormat="false" ht="15" hidden="false" customHeight="true" outlineLevel="0" collapsed="false">
      <c r="A58" s="27" t="s">
        <v>293</v>
      </c>
      <c r="B58" s="28" t="s">
        <v>288</v>
      </c>
      <c r="C58" s="28" t="s">
        <v>294</v>
      </c>
      <c r="D58" s="27" t="s">
        <v>57</v>
      </c>
      <c r="E58" s="29"/>
      <c r="F58" s="29" t="n">
        <v>2.2</v>
      </c>
      <c r="G58" s="30" t="n">
        <v>2.2</v>
      </c>
      <c r="H58" s="28" t="s">
        <v>34</v>
      </c>
      <c r="I58" s="27" t="s">
        <v>295</v>
      </c>
      <c r="J58" s="27" t="s">
        <v>296</v>
      </c>
      <c r="K58" s="22"/>
    </row>
    <row r="59" customFormat="false" ht="15" hidden="false" customHeight="true" outlineLevel="0" collapsed="false">
      <c r="A59" s="16" t="s">
        <v>297</v>
      </c>
      <c r="B59" s="17" t="s">
        <v>288</v>
      </c>
      <c r="C59" s="18" t="s">
        <v>298</v>
      </c>
      <c r="D59" s="17" t="s">
        <v>86</v>
      </c>
      <c r="E59" s="19" t="n">
        <v>1.5</v>
      </c>
      <c r="F59" s="19" t="n">
        <v>1.5</v>
      </c>
      <c r="G59" s="20" t="n">
        <v>1.5</v>
      </c>
      <c r="H59" s="17" t="s">
        <v>32</v>
      </c>
      <c r="I59" s="21" t="s">
        <v>299</v>
      </c>
      <c r="J59" s="21" t="s">
        <v>300</v>
      </c>
      <c r="K59" s="22"/>
    </row>
    <row r="60" customFormat="false" ht="15" hidden="false" customHeight="true" outlineLevel="0" collapsed="false">
      <c r="A60" s="16" t="s">
        <v>301</v>
      </c>
      <c r="B60" s="17" t="s">
        <v>288</v>
      </c>
      <c r="C60" s="18" t="s">
        <v>302</v>
      </c>
      <c r="D60" s="17" t="s">
        <v>86</v>
      </c>
      <c r="E60" s="19"/>
      <c r="F60" s="19" t="n">
        <v>0.12</v>
      </c>
      <c r="G60" s="20" t="n">
        <v>0.12</v>
      </c>
      <c r="H60" s="17" t="s">
        <v>34</v>
      </c>
      <c r="I60" s="21" t="s">
        <v>303</v>
      </c>
      <c r="J60" s="21" t="s">
        <v>304</v>
      </c>
      <c r="K60" s="22"/>
    </row>
    <row r="61" customFormat="false" ht="15" hidden="false" customHeight="true" outlineLevel="0" collapsed="false">
      <c r="A61" s="16" t="s">
        <v>305</v>
      </c>
      <c r="B61" s="17" t="s">
        <v>288</v>
      </c>
      <c r="C61" s="18" t="s">
        <v>306</v>
      </c>
      <c r="D61" s="17" t="s">
        <v>86</v>
      </c>
      <c r="E61" s="19"/>
      <c r="F61" s="19" t="n">
        <v>0.7</v>
      </c>
      <c r="G61" s="20" t="n">
        <v>0.7</v>
      </c>
      <c r="H61" s="17" t="s">
        <v>34</v>
      </c>
      <c r="I61" s="21" t="s">
        <v>307</v>
      </c>
      <c r="J61" s="21" t="s">
        <v>308</v>
      </c>
      <c r="K61" s="22"/>
    </row>
    <row r="62" customFormat="false" ht="15" hidden="false" customHeight="true" outlineLevel="0" collapsed="false">
      <c r="A62" s="27" t="s">
        <v>309</v>
      </c>
      <c r="B62" s="28" t="s">
        <v>288</v>
      </c>
      <c r="C62" s="28" t="s">
        <v>310</v>
      </c>
      <c r="D62" s="28" t="s">
        <v>86</v>
      </c>
      <c r="E62" s="29"/>
      <c r="F62" s="29" t="n">
        <v>0.35</v>
      </c>
      <c r="G62" s="30" t="n">
        <v>0.35</v>
      </c>
      <c r="H62" s="28" t="s">
        <v>34</v>
      </c>
      <c r="I62" s="27" t="s">
        <v>311</v>
      </c>
      <c r="J62" s="27" t="s">
        <v>312</v>
      </c>
      <c r="K62" s="22"/>
    </row>
    <row r="63" customFormat="false" ht="15" hidden="false" customHeight="true" outlineLevel="0" collapsed="false">
      <c r="A63" s="16" t="s">
        <v>313</v>
      </c>
      <c r="B63" s="17" t="s">
        <v>288</v>
      </c>
      <c r="C63" s="18" t="s">
        <v>314</v>
      </c>
      <c r="D63" s="16" t="s">
        <v>57</v>
      </c>
      <c r="E63" s="19"/>
      <c r="F63" s="19" t="n">
        <v>1.6</v>
      </c>
      <c r="G63" s="20" t="n">
        <v>1.6</v>
      </c>
      <c r="H63" s="17" t="s">
        <v>34</v>
      </c>
      <c r="I63" s="21" t="s">
        <v>315</v>
      </c>
      <c r="J63" s="21" t="s">
        <v>316</v>
      </c>
      <c r="K63" s="22"/>
    </row>
    <row r="64" customFormat="false" ht="15" hidden="false" customHeight="true" outlineLevel="0" collapsed="false">
      <c r="A64" s="16" t="s">
        <v>317</v>
      </c>
      <c r="B64" s="17" t="s">
        <v>288</v>
      </c>
      <c r="C64" s="18" t="s">
        <v>318</v>
      </c>
      <c r="D64" s="16" t="s">
        <v>57</v>
      </c>
      <c r="E64" s="19"/>
      <c r="F64" s="19" t="n">
        <v>1</v>
      </c>
      <c r="G64" s="20" t="n">
        <v>1</v>
      </c>
      <c r="H64" s="17" t="s">
        <v>34</v>
      </c>
      <c r="I64" s="21" t="s">
        <v>319</v>
      </c>
      <c r="J64" s="21" t="s">
        <v>316</v>
      </c>
      <c r="K64" s="22"/>
    </row>
    <row r="65" customFormat="false" ht="15" hidden="false" customHeight="true" outlineLevel="0" collapsed="false">
      <c r="A65" s="24" t="s">
        <v>320</v>
      </c>
      <c r="B65" s="25"/>
      <c r="C65" s="26"/>
      <c r="D65" s="25"/>
      <c r="E65" s="25"/>
      <c r="F65" s="25"/>
      <c r="G65" s="25"/>
      <c r="H65" s="25"/>
      <c r="I65" s="26"/>
      <c r="J65" s="26"/>
      <c r="K65" s="26"/>
    </row>
    <row r="66" customFormat="false" ht="15" hidden="false" customHeight="true" outlineLevel="0" collapsed="false">
      <c r="A66" s="16" t="s">
        <v>321</v>
      </c>
      <c r="B66" s="17" t="s">
        <v>320</v>
      </c>
      <c r="C66" s="18" t="s">
        <v>322</v>
      </c>
      <c r="D66" s="16" t="s">
        <v>63</v>
      </c>
      <c r="E66" s="19" t="n">
        <v>1.1</v>
      </c>
      <c r="F66" s="19" t="n">
        <v>1.2</v>
      </c>
      <c r="G66" s="20" t="n">
        <v>1.1</v>
      </c>
      <c r="H66" s="17" t="s">
        <v>32</v>
      </c>
      <c r="I66" s="21" t="s">
        <v>323</v>
      </c>
      <c r="J66" s="21" t="s">
        <v>324</v>
      </c>
      <c r="K66" s="23" t="s">
        <v>325</v>
      </c>
    </row>
    <row r="67" customFormat="false" ht="15" hidden="false" customHeight="true" outlineLevel="0" collapsed="false">
      <c r="A67" s="16" t="s">
        <v>326</v>
      </c>
      <c r="B67" s="17" t="s">
        <v>320</v>
      </c>
      <c r="C67" s="18" t="s">
        <v>327</v>
      </c>
      <c r="D67" s="17" t="s">
        <v>86</v>
      </c>
      <c r="E67" s="19"/>
      <c r="F67" s="19" t="n">
        <v>1.5</v>
      </c>
      <c r="G67" s="20" t="n">
        <v>1.2</v>
      </c>
      <c r="H67" s="17" t="s">
        <v>34</v>
      </c>
      <c r="I67" s="21" t="s">
        <v>328</v>
      </c>
      <c r="J67" s="21" t="s">
        <v>329</v>
      </c>
      <c r="K67" s="23" t="s">
        <v>330</v>
      </c>
    </row>
    <row r="68" customFormat="false" ht="15" hidden="false" customHeight="true" outlineLevel="0" collapsed="false">
      <c r="A68" s="16" t="s">
        <v>331</v>
      </c>
      <c r="B68" s="17" t="s">
        <v>320</v>
      </c>
      <c r="C68" s="18" t="s">
        <v>332</v>
      </c>
      <c r="D68" s="17" t="s">
        <v>86</v>
      </c>
      <c r="E68" s="19"/>
      <c r="F68" s="19" t="n">
        <v>0.6</v>
      </c>
      <c r="G68" s="20" t="n">
        <v>0.6</v>
      </c>
      <c r="H68" s="17" t="s">
        <v>34</v>
      </c>
      <c r="I68" s="21" t="s">
        <v>333</v>
      </c>
      <c r="J68" s="21" t="s">
        <v>334</v>
      </c>
      <c r="K68" s="22"/>
    </row>
    <row r="69" customFormat="false" ht="15" hidden="false" customHeight="true" outlineLevel="0" collapsed="false">
      <c r="A69" s="16" t="s">
        <v>335</v>
      </c>
      <c r="B69" s="17" t="s">
        <v>320</v>
      </c>
      <c r="C69" s="18" t="s">
        <v>336</v>
      </c>
      <c r="D69" s="16" t="s">
        <v>57</v>
      </c>
      <c r="E69" s="19" t="n">
        <v>2.2</v>
      </c>
      <c r="F69" s="19" t="n">
        <v>2.2</v>
      </c>
      <c r="G69" s="20" t="n">
        <v>2.2</v>
      </c>
      <c r="H69" s="17" t="s">
        <v>32</v>
      </c>
      <c r="I69" s="21" t="s">
        <v>337</v>
      </c>
      <c r="J69" s="21" t="s">
        <v>338</v>
      </c>
      <c r="K69" s="22" t="s">
        <v>339</v>
      </c>
    </row>
    <row r="70" customFormat="false" ht="15" hidden="false" customHeight="true" outlineLevel="0" collapsed="false">
      <c r="A70" s="16" t="s">
        <v>340</v>
      </c>
      <c r="B70" s="17" t="s">
        <v>320</v>
      </c>
      <c r="C70" s="18" t="s">
        <v>341</v>
      </c>
      <c r="D70" s="16" t="s">
        <v>57</v>
      </c>
      <c r="E70" s="19" t="n">
        <v>2.4</v>
      </c>
      <c r="F70" s="19" t="n">
        <v>2.6</v>
      </c>
      <c r="G70" s="20" t="n">
        <v>2.4</v>
      </c>
      <c r="H70" s="17" t="s">
        <v>32</v>
      </c>
      <c r="I70" s="21" t="s">
        <v>342</v>
      </c>
      <c r="J70" s="21" t="s">
        <v>338</v>
      </c>
      <c r="K70" s="22" t="s">
        <v>339</v>
      </c>
    </row>
    <row r="71" customFormat="false" ht="15" hidden="false" customHeight="true" outlineLevel="0" collapsed="false">
      <c r="A71" s="16" t="s">
        <v>343</v>
      </c>
      <c r="B71" s="17" t="s">
        <v>320</v>
      </c>
      <c r="C71" s="18" t="s">
        <v>344</v>
      </c>
      <c r="D71" s="16" t="s">
        <v>57</v>
      </c>
      <c r="E71" s="19" t="n">
        <v>1.6</v>
      </c>
      <c r="F71" s="19"/>
      <c r="G71" s="20" t="n">
        <v>1.6</v>
      </c>
      <c r="H71" s="17" t="s">
        <v>32</v>
      </c>
      <c r="I71" s="21" t="s">
        <v>345</v>
      </c>
      <c r="J71" s="21" t="s">
        <v>346</v>
      </c>
      <c r="K71" s="23" t="s">
        <v>347</v>
      </c>
    </row>
    <row r="72" customFormat="false" ht="15" hidden="false" customHeight="true" outlineLevel="0" collapsed="false">
      <c r="A72" s="16" t="s">
        <v>348</v>
      </c>
      <c r="B72" s="17" t="s">
        <v>320</v>
      </c>
      <c r="C72" s="18" t="s">
        <v>349</v>
      </c>
      <c r="D72" s="16" t="s">
        <v>57</v>
      </c>
      <c r="E72" s="19" t="n">
        <v>1.7</v>
      </c>
      <c r="F72" s="19"/>
      <c r="G72" s="20" t="n">
        <v>1.7</v>
      </c>
      <c r="H72" s="17" t="s">
        <v>32</v>
      </c>
      <c r="I72" s="21" t="s">
        <v>345</v>
      </c>
      <c r="J72" s="21" t="s">
        <v>346</v>
      </c>
      <c r="K72" s="22"/>
    </row>
    <row r="73" customFormat="false" ht="15" hidden="false" customHeight="true" outlineLevel="0" collapsed="false">
      <c r="A73" s="27" t="s">
        <v>350</v>
      </c>
      <c r="B73" s="28" t="s">
        <v>320</v>
      </c>
      <c r="C73" s="28" t="s">
        <v>351</v>
      </c>
      <c r="D73" s="27" t="s">
        <v>57</v>
      </c>
      <c r="E73" s="29"/>
      <c r="F73" s="29"/>
      <c r="G73" s="30" t="n">
        <v>0.7</v>
      </c>
      <c r="H73" s="28" t="s">
        <v>34</v>
      </c>
      <c r="I73" s="27" t="s">
        <v>352</v>
      </c>
      <c r="J73" s="27" t="s">
        <v>353</v>
      </c>
      <c r="K73" s="23" t="s">
        <v>354</v>
      </c>
    </row>
    <row r="74" customFormat="false" ht="15" hidden="false" customHeight="true" outlineLevel="0" collapsed="false">
      <c r="A74" s="16" t="s">
        <v>355</v>
      </c>
      <c r="B74" s="17" t="s">
        <v>320</v>
      </c>
      <c r="C74" s="18" t="s">
        <v>356</v>
      </c>
      <c r="D74" s="16" t="s">
        <v>57</v>
      </c>
      <c r="E74" s="19"/>
      <c r="F74" s="19" t="n">
        <v>0.5</v>
      </c>
      <c r="G74" s="20" t="n">
        <v>0.5</v>
      </c>
      <c r="H74" s="17" t="s">
        <v>34</v>
      </c>
      <c r="I74" s="21" t="s">
        <v>357</v>
      </c>
      <c r="J74" s="21" t="s">
        <v>358</v>
      </c>
      <c r="K74" s="22"/>
    </row>
    <row r="75" customFormat="false" ht="15" hidden="false" customHeight="true" outlineLevel="0" collapsed="false">
      <c r="A75" s="16" t="s">
        <v>359</v>
      </c>
      <c r="B75" s="17" t="s">
        <v>320</v>
      </c>
      <c r="C75" s="18" t="s">
        <v>360</v>
      </c>
      <c r="D75" s="16" t="s">
        <v>63</v>
      </c>
      <c r="E75" s="19"/>
      <c r="F75" s="19" t="n">
        <v>2.5</v>
      </c>
      <c r="G75" s="20" t="n">
        <v>2.5</v>
      </c>
      <c r="H75" s="17" t="s">
        <v>34</v>
      </c>
      <c r="I75" s="21" t="s">
        <v>361</v>
      </c>
      <c r="J75" s="21" t="s">
        <v>362</v>
      </c>
      <c r="K75" s="22"/>
    </row>
    <row r="76" customFormat="false" ht="15" hidden="false" customHeight="true" outlineLevel="0" collapsed="false">
      <c r="A76" s="16" t="s">
        <v>363</v>
      </c>
      <c r="B76" s="17" t="s">
        <v>320</v>
      </c>
      <c r="C76" s="18" t="s">
        <v>364</v>
      </c>
      <c r="D76" s="16" t="s">
        <v>63</v>
      </c>
      <c r="E76" s="19" t="n">
        <v>1.5</v>
      </c>
      <c r="F76" s="19" t="n">
        <v>1.4</v>
      </c>
      <c r="G76" s="20" t="n">
        <v>1.5</v>
      </c>
      <c r="H76" s="17" t="s">
        <v>32</v>
      </c>
      <c r="I76" s="21" t="s">
        <v>365</v>
      </c>
      <c r="J76" s="21" t="s">
        <v>366</v>
      </c>
      <c r="K76" s="22"/>
    </row>
    <row r="77" customFormat="false" ht="15" hidden="false" customHeight="true" outlineLevel="0" collapsed="false">
      <c r="A77" s="16" t="s">
        <v>367</v>
      </c>
      <c r="B77" s="17" t="s">
        <v>320</v>
      </c>
      <c r="C77" s="18" t="s">
        <v>368</v>
      </c>
      <c r="D77" s="16" t="s">
        <v>63</v>
      </c>
      <c r="E77" s="19" t="n">
        <v>2.3</v>
      </c>
      <c r="F77" s="19"/>
      <c r="G77" s="20" t="n">
        <v>2.3</v>
      </c>
      <c r="H77" s="17" t="s">
        <v>32</v>
      </c>
      <c r="I77" s="21" t="s">
        <v>369</v>
      </c>
      <c r="J77" s="21" t="s">
        <v>370</v>
      </c>
      <c r="K77" s="22" t="s">
        <v>371</v>
      </c>
    </row>
    <row r="78" customFormat="false" ht="15" hidden="false" customHeight="true" outlineLevel="0" collapsed="false">
      <c r="A78" s="16" t="s">
        <v>372</v>
      </c>
      <c r="B78" s="17" t="s">
        <v>320</v>
      </c>
      <c r="C78" s="18" t="s">
        <v>373</v>
      </c>
      <c r="D78" s="17" t="s">
        <v>86</v>
      </c>
      <c r="E78" s="19" t="n">
        <v>1.5</v>
      </c>
      <c r="F78" s="19"/>
      <c r="G78" s="20" t="n">
        <v>1.5</v>
      </c>
      <c r="H78" s="17" t="s">
        <v>32</v>
      </c>
      <c r="I78" s="21" t="s">
        <v>374</v>
      </c>
      <c r="J78" s="21" t="s">
        <v>375</v>
      </c>
      <c r="K78" s="22"/>
    </row>
    <row r="79" customFormat="false" ht="15" hidden="false" customHeight="true" outlineLevel="0" collapsed="false">
      <c r="A79" s="16" t="s">
        <v>376</v>
      </c>
      <c r="B79" s="17" t="s">
        <v>320</v>
      </c>
      <c r="C79" s="18" t="s">
        <v>377</v>
      </c>
      <c r="D79" s="17" t="s">
        <v>86</v>
      </c>
      <c r="E79" s="19" t="n">
        <v>2</v>
      </c>
      <c r="F79" s="19" t="n">
        <v>2</v>
      </c>
      <c r="G79" s="20" t="n">
        <v>2</v>
      </c>
      <c r="H79" s="17" t="s">
        <v>32</v>
      </c>
      <c r="I79" s="21" t="s">
        <v>378</v>
      </c>
      <c r="J79" s="21" t="s">
        <v>379</v>
      </c>
      <c r="K79" s="23" t="s">
        <v>380</v>
      </c>
    </row>
    <row r="80" customFormat="false" ht="15" hidden="false" customHeight="true" outlineLevel="0" collapsed="false">
      <c r="A80" s="24" t="s">
        <v>381</v>
      </c>
      <c r="B80" s="25"/>
      <c r="C80" s="26"/>
      <c r="D80" s="25"/>
      <c r="E80" s="25"/>
      <c r="F80" s="25"/>
      <c r="G80" s="25"/>
      <c r="H80" s="25"/>
      <c r="I80" s="26"/>
      <c r="J80" s="26"/>
      <c r="K80" s="26"/>
    </row>
    <row r="81" customFormat="false" ht="15" hidden="false" customHeight="true" outlineLevel="0" collapsed="false">
      <c r="A81" s="27" t="s">
        <v>382</v>
      </c>
      <c r="B81" s="28" t="s">
        <v>383</v>
      </c>
      <c r="C81" s="28" t="s">
        <v>384</v>
      </c>
      <c r="D81" s="28" t="s">
        <v>86</v>
      </c>
      <c r="E81" s="29" t="n">
        <v>0.5</v>
      </c>
      <c r="F81" s="29" t="n">
        <v>1</v>
      </c>
      <c r="G81" s="30" t="n">
        <v>0.5</v>
      </c>
      <c r="H81" s="28" t="s">
        <v>32</v>
      </c>
      <c r="I81" s="27" t="s">
        <v>385</v>
      </c>
      <c r="J81" s="27" t="s">
        <v>386</v>
      </c>
      <c r="K81" s="22" t="s">
        <v>387</v>
      </c>
    </row>
    <row r="82" customFormat="false" ht="15" hidden="false" customHeight="true" outlineLevel="0" collapsed="false">
      <c r="A82" s="16" t="s">
        <v>388</v>
      </c>
      <c r="B82" s="17" t="s">
        <v>383</v>
      </c>
      <c r="C82" s="18" t="s">
        <v>389</v>
      </c>
      <c r="D82" s="16" t="s">
        <v>63</v>
      </c>
      <c r="E82" s="19"/>
      <c r="F82" s="19" t="n">
        <v>3.2</v>
      </c>
      <c r="G82" s="20" t="n">
        <v>3.2</v>
      </c>
      <c r="H82" s="17" t="s">
        <v>34</v>
      </c>
      <c r="I82" s="21" t="s">
        <v>390</v>
      </c>
      <c r="J82" s="21" t="s">
        <v>391</v>
      </c>
      <c r="K82" s="22"/>
    </row>
    <row r="83" customFormat="false" ht="15" hidden="false" customHeight="true" outlineLevel="0" collapsed="false">
      <c r="A83" s="16" t="s">
        <v>392</v>
      </c>
      <c r="B83" s="17" t="s">
        <v>383</v>
      </c>
      <c r="C83" s="18" t="s">
        <v>393</v>
      </c>
      <c r="D83" s="17" t="s">
        <v>86</v>
      </c>
      <c r="E83" s="19"/>
      <c r="F83" s="19" t="n">
        <v>2.5</v>
      </c>
      <c r="G83" s="20" t="n">
        <v>1.6</v>
      </c>
      <c r="H83" s="17" t="s">
        <v>34</v>
      </c>
      <c r="I83" s="21" t="s">
        <v>394</v>
      </c>
      <c r="J83" s="21" t="s">
        <v>395</v>
      </c>
      <c r="K83" s="23" t="s">
        <v>396</v>
      </c>
    </row>
    <row r="84" customFormat="false" ht="15" hidden="false" customHeight="true" outlineLevel="0" collapsed="false">
      <c r="A84" s="16" t="s">
        <v>397</v>
      </c>
      <c r="B84" s="17" t="s">
        <v>383</v>
      </c>
      <c r="C84" s="18" t="s">
        <v>398</v>
      </c>
      <c r="D84" s="16" t="s">
        <v>63</v>
      </c>
      <c r="E84" s="19"/>
      <c r="F84" s="19" t="n">
        <v>1</v>
      </c>
      <c r="G84" s="20" t="n">
        <v>1</v>
      </c>
      <c r="H84" s="17" t="s">
        <v>34</v>
      </c>
      <c r="I84" s="21" t="s">
        <v>399</v>
      </c>
      <c r="J84" s="21" t="s">
        <v>400</v>
      </c>
      <c r="K84" s="23" t="s">
        <v>401</v>
      </c>
    </row>
    <row r="85" customFormat="false" ht="15" hidden="false" customHeight="true" outlineLevel="0" collapsed="false">
      <c r="A85" s="27" t="s">
        <v>402</v>
      </c>
      <c r="B85" s="28" t="s">
        <v>383</v>
      </c>
      <c r="C85" s="28" t="s">
        <v>403</v>
      </c>
      <c r="D85" s="27" t="s">
        <v>57</v>
      </c>
      <c r="E85" s="29"/>
      <c r="F85" s="29"/>
      <c r="G85" s="30" t="n">
        <v>1</v>
      </c>
      <c r="H85" s="28" t="s">
        <v>34</v>
      </c>
      <c r="I85" s="27" t="s">
        <v>404</v>
      </c>
      <c r="J85" s="27" t="s">
        <v>405</v>
      </c>
      <c r="K85" s="22" t="s">
        <v>406</v>
      </c>
    </row>
    <row r="86" customFormat="false" ht="15" hidden="false" customHeight="true" outlineLevel="0" collapsed="false">
      <c r="A86" s="16" t="s">
        <v>407</v>
      </c>
      <c r="B86" s="17" t="s">
        <v>383</v>
      </c>
      <c r="C86" s="18" t="s">
        <v>408</v>
      </c>
      <c r="D86" s="17" t="s">
        <v>86</v>
      </c>
      <c r="E86" s="19" t="n">
        <v>8</v>
      </c>
      <c r="F86" s="19" t="n">
        <v>8</v>
      </c>
      <c r="G86" s="20" t="n">
        <v>8</v>
      </c>
      <c r="H86" s="17" t="s">
        <v>32</v>
      </c>
      <c r="I86" s="21" t="s">
        <v>409</v>
      </c>
      <c r="J86" s="21" t="s">
        <v>410</v>
      </c>
      <c r="K86" s="23" t="s">
        <v>411</v>
      </c>
    </row>
    <row r="87" customFormat="false" ht="15" hidden="false" customHeight="true" outlineLevel="0" collapsed="false">
      <c r="A87" s="16" t="s">
        <v>412</v>
      </c>
      <c r="B87" s="17" t="s">
        <v>383</v>
      </c>
      <c r="C87" s="18" t="s">
        <v>413</v>
      </c>
      <c r="D87" s="17" t="s">
        <v>86</v>
      </c>
      <c r="E87" s="19"/>
      <c r="F87" s="19" t="n">
        <v>3</v>
      </c>
      <c r="G87" s="20" t="n">
        <v>3</v>
      </c>
      <c r="H87" s="17" t="s">
        <v>32</v>
      </c>
      <c r="I87" s="21" t="s">
        <v>414</v>
      </c>
      <c r="J87" s="21" t="s">
        <v>415</v>
      </c>
      <c r="K87" s="22"/>
    </row>
    <row r="88" customFormat="false" ht="15" hidden="false" customHeight="true" outlineLevel="0" collapsed="false">
      <c r="A88" s="14" t="s">
        <v>416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customFormat="false" ht="15" hidden="false" customHeight="true" outlineLevel="0" collapsed="false">
      <c r="A89" s="16" t="s">
        <v>417</v>
      </c>
      <c r="B89" s="17" t="s">
        <v>418</v>
      </c>
      <c r="C89" s="18" t="s">
        <v>419</v>
      </c>
      <c r="D89" s="16" t="s">
        <v>57</v>
      </c>
      <c r="E89" s="19"/>
      <c r="F89" s="19"/>
      <c r="G89" s="20" t="n">
        <v>0.3</v>
      </c>
      <c r="H89" s="17" t="s">
        <v>34</v>
      </c>
      <c r="I89" s="21" t="s">
        <v>420</v>
      </c>
      <c r="J89" s="21" t="s">
        <v>421</v>
      </c>
      <c r="K89" s="22"/>
    </row>
    <row r="90" customFormat="false" ht="15" hidden="false" customHeight="true" outlineLevel="0" collapsed="false">
      <c r="A90" s="16" t="s">
        <v>422</v>
      </c>
      <c r="B90" s="17" t="s">
        <v>418</v>
      </c>
      <c r="C90" s="18" t="s">
        <v>423</v>
      </c>
      <c r="D90" s="16" t="s">
        <v>63</v>
      </c>
      <c r="E90" s="19"/>
      <c r="F90" s="19"/>
      <c r="G90" s="20" t="n">
        <v>2</v>
      </c>
      <c r="H90" s="17" t="s">
        <v>34</v>
      </c>
      <c r="I90" s="21" t="s">
        <v>424</v>
      </c>
      <c r="J90" s="21" t="s">
        <v>425</v>
      </c>
      <c r="K90" s="22"/>
    </row>
    <row r="91" customFormat="false" ht="15" hidden="false" customHeight="true" outlineLevel="0" collapsed="false">
      <c r="A91" s="16" t="s">
        <v>426</v>
      </c>
      <c r="B91" s="17" t="s">
        <v>418</v>
      </c>
      <c r="C91" s="18" t="s">
        <v>427</v>
      </c>
      <c r="D91" s="16" t="s">
        <v>63</v>
      </c>
      <c r="E91" s="19"/>
      <c r="F91" s="19"/>
      <c r="G91" s="20" t="n">
        <v>2.2</v>
      </c>
      <c r="H91" s="17" t="s">
        <v>34</v>
      </c>
      <c r="I91" s="21" t="s">
        <v>424</v>
      </c>
      <c r="J91" s="21" t="s">
        <v>425</v>
      </c>
      <c r="K91" s="22"/>
    </row>
    <row r="92" customFormat="false" ht="15" hidden="false" customHeight="true" outlineLevel="0" collapsed="false">
      <c r="A92" s="16" t="s">
        <v>428</v>
      </c>
      <c r="B92" s="17" t="s">
        <v>418</v>
      </c>
      <c r="C92" s="18" t="s">
        <v>429</v>
      </c>
      <c r="D92" s="16" t="s">
        <v>63</v>
      </c>
      <c r="E92" s="19"/>
      <c r="F92" s="19"/>
      <c r="G92" s="20" t="n">
        <v>2.1</v>
      </c>
      <c r="H92" s="17" t="s">
        <v>34</v>
      </c>
      <c r="I92" s="21" t="s">
        <v>424</v>
      </c>
      <c r="J92" s="21" t="s">
        <v>425</v>
      </c>
      <c r="K92" s="22"/>
    </row>
    <row r="93" customFormat="false" ht="15" hidden="false" customHeight="true" outlineLevel="0" collapsed="false">
      <c r="A93" s="16" t="s">
        <v>430</v>
      </c>
      <c r="B93" s="17" t="s">
        <v>418</v>
      </c>
      <c r="C93" s="18" t="s">
        <v>431</v>
      </c>
      <c r="D93" s="17" t="s">
        <v>432</v>
      </c>
      <c r="E93" s="19"/>
      <c r="F93" s="19"/>
      <c r="G93" s="20" t="n">
        <v>5</v>
      </c>
      <c r="H93" s="17" t="s">
        <v>34</v>
      </c>
      <c r="I93" s="21" t="s">
        <v>433</v>
      </c>
      <c r="J93" s="21" t="s">
        <v>434</v>
      </c>
      <c r="K93" s="22"/>
    </row>
    <row r="94" customFormat="false" ht="15" hidden="false" customHeight="true" outlineLevel="0" collapsed="false">
      <c r="A94" s="16" t="s">
        <v>435</v>
      </c>
      <c r="B94" s="17" t="s">
        <v>418</v>
      </c>
      <c r="C94" s="18" t="s">
        <v>436</v>
      </c>
      <c r="D94" s="17" t="s">
        <v>432</v>
      </c>
      <c r="E94" s="19"/>
      <c r="F94" s="19"/>
      <c r="G94" s="20" t="n">
        <v>5</v>
      </c>
      <c r="H94" s="17" t="s">
        <v>34</v>
      </c>
      <c r="I94" s="21" t="s">
        <v>433</v>
      </c>
      <c r="J94" s="21" t="s">
        <v>434</v>
      </c>
      <c r="K94" s="22"/>
    </row>
    <row r="95" customFormat="false" ht="15" hidden="false" customHeight="true" outlineLevel="0" collapsed="false">
      <c r="A95" s="27" t="s">
        <v>437</v>
      </c>
      <c r="B95" s="28" t="s">
        <v>418</v>
      </c>
      <c r="C95" s="28" t="s">
        <v>438</v>
      </c>
      <c r="D95" s="28" t="s">
        <v>432</v>
      </c>
      <c r="E95" s="29"/>
      <c r="F95" s="29"/>
      <c r="G95" s="30" t="n">
        <v>4</v>
      </c>
      <c r="H95" s="28" t="s">
        <v>34</v>
      </c>
      <c r="I95" s="27" t="s">
        <v>433</v>
      </c>
      <c r="J95" s="27" t="s">
        <v>434</v>
      </c>
      <c r="K95" s="22"/>
    </row>
    <row r="96" customFormat="false" ht="15" hidden="false" customHeight="true" outlineLevel="0" collapsed="false">
      <c r="A96" s="16" t="s">
        <v>439</v>
      </c>
      <c r="B96" s="17" t="s">
        <v>418</v>
      </c>
      <c r="C96" s="18" t="s">
        <v>440</v>
      </c>
      <c r="D96" s="16" t="s">
        <v>63</v>
      </c>
      <c r="E96" s="19"/>
      <c r="F96" s="19"/>
      <c r="G96" s="20" t="n">
        <v>5.5</v>
      </c>
      <c r="H96" s="17" t="s">
        <v>34</v>
      </c>
      <c r="I96" s="21" t="s">
        <v>441</v>
      </c>
      <c r="J96" s="21" t="s">
        <v>442</v>
      </c>
      <c r="K96" s="23" t="s">
        <v>443</v>
      </c>
    </row>
    <row r="97" customFormat="false" ht="15" hidden="false" customHeight="true" outlineLevel="0" collapsed="false">
      <c r="A97" s="16" t="s">
        <v>444</v>
      </c>
      <c r="B97" s="17" t="s">
        <v>418</v>
      </c>
      <c r="C97" s="18" t="s">
        <v>445</v>
      </c>
      <c r="D97" s="16" t="s">
        <v>63</v>
      </c>
      <c r="E97" s="19"/>
      <c r="F97" s="19"/>
      <c r="G97" s="20" t="n">
        <v>3.5</v>
      </c>
      <c r="H97" s="17" t="s">
        <v>34</v>
      </c>
      <c r="I97" s="21" t="s">
        <v>446</v>
      </c>
      <c r="J97" s="21" t="s">
        <v>447</v>
      </c>
      <c r="K97" s="23" t="s">
        <v>448</v>
      </c>
    </row>
    <row r="98" customFormat="false" ht="15" hidden="false" customHeight="true" outlineLevel="0" collapsed="false">
      <c r="A98" s="16" t="s">
        <v>449</v>
      </c>
      <c r="B98" s="17" t="s">
        <v>418</v>
      </c>
      <c r="C98" s="18" t="s">
        <v>450</v>
      </c>
      <c r="D98" s="17" t="s">
        <v>86</v>
      </c>
      <c r="E98" s="19"/>
      <c r="F98" s="19"/>
      <c r="G98" s="20" t="n">
        <v>0.3</v>
      </c>
      <c r="H98" s="17" t="s">
        <v>34</v>
      </c>
      <c r="I98" s="21" t="s">
        <v>451</v>
      </c>
      <c r="J98" s="21" t="s">
        <v>452</v>
      </c>
      <c r="K98" s="22"/>
    </row>
    <row r="99" customFormat="false" ht="15" hidden="false" customHeight="true" outlineLevel="0" collapsed="false">
      <c r="A99" s="24" t="s">
        <v>453</v>
      </c>
      <c r="B99" s="25"/>
      <c r="C99" s="26"/>
      <c r="D99" s="25"/>
      <c r="E99" s="25"/>
      <c r="F99" s="25"/>
      <c r="G99" s="25"/>
      <c r="H99" s="25"/>
      <c r="I99" s="26"/>
      <c r="J99" s="26"/>
      <c r="K99" s="26"/>
    </row>
    <row r="100" customFormat="false" ht="15" hidden="false" customHeight="true" outlineLevel="0" collapsed="false">
      <c r="A100" s="16" t="s">
        <v>454</v>
      </c>
      <c r="B100" s="17" t="s">
        <v>455</v>
      </c>
      <c r="C100" s="18" t="s">
        <v>456</v>
      </c>
      <c r="D100" s="17" t="s">
        <v>86</v>
      </c>
      <c r="E100" s="19" t="n">
        <v>1</v>
      </c>
      <c r="F100" s="19" t="n">
        <v>1</v>
      </c>
      <c r="G100" s="20" t="n">
        <v>1</v>
      </c>
      <c r="H100" s="17" t="s">
        <v>32</v>
      </c>
      <c r="I100" s="21" t="s">
        <v>457</v>
      </c>
      <c r="J100" s="21" t="s">
        <v>458</v>
      </c>
      <c r="K100" s="23" t="s">
        <v>459</v>
      </c>
    </row>
    <row r="101" customFormat="false" ht="15" hidden="false" customHeight="true" outlineLevel="0" collapsed="false">
      <c r="A101" s="16" t="s">
        <v>460</v>
      </c>
      <c r="B101" s="17" t="s">
        <v>455</v>
      </c>
      <c r="C101" s="18" t="s">
        <v>461</v>
      </c>
      <c r="D101" s="17" t="s">
        <v>86</v>
      </c>
      <c r="E101" s="19"/>
      <c r="F101" s="19"/>
      <c r="G101" s="20" t="n">
        <v>7</v>
      </c>
      <c r="H101" s="17" t="s">
        <v>34</v>
      </c>
      <c r="I101" s="21" t="s">
        <v>462</v>
      </c>
      <c r="J101" s="21" t="s">
        <v>463</v>
      </c>
      <c r="K101" s="22"/>
    </row>
    <row r="102" customFormat="false" ht="15" hidden="false" customHeight="true" outlineLevel="0" collapsed="false">
      <c r="A102" s="27" t="s">
        <v>464</v>
      </c>
      <c r="B102" s="28" t="s">
        <v>455</v>
      </c>
      <c r="C102" s="28" t="s">
        <v>465</v>
      </c>
      <c r="D102" s="28" t="s">
        <v>432</v>
      </c>
      <c r="E102" s="29"/>
      <c r="F102" s="29"/>
      <c r="G102" s="30" t="n">
        <v>5</v>
      </c>
      <c r="H102" s="28" t="s">
        <v>34</v>
      </c>
      <c r="I102" s="27" t="s">
        <v>466</v>
      </c>
      <c r="J102" s="27" t="s">
        <v>467</v>
      </c>
      <c r="K102" s="22"/>
    </row>
    <row r="103" customFormat="false" ht="15" hidden="false" customHeight="true" outlineLevel="0" collapsed="false">
      <c r="A103" s="16" t="s">
        <v>468</v>
      </c>
      <c r="B103" s="17" t="s">
        <v>455</v>
      </c>
      <c r="C103" s="18" t="s">
        <v>469</v>
      </c>
      <c r="D103" s="16" t="s">
        <v>63</v>
      </c>
      <c r="E103" s="19"/>
      <c r="F103" s="19" t="n">
        <v>2</v>
      </c>
      <c r="G103" s="20" t="n">
        <v>4.2</v>
      </c>
      <c r="H103" s="17" t="s">
        <v>34</v>
      </c>
      <c r="I103" s="21" t="s">
        <v>470</v>
      </c>
      <c r="J103" s="21" t="s">
        <v>471</v>
      </c>
      <c r="K103" s="22"/>
    </row>
    <row r="104" customFormat="false" ht="15" hidden="false" customHeight="true" outlineLevel="0" collapsed="false">
      <c r="A104" s="16" t="s">
        <v>472</v>
      </c>
      <c r="B104" s="17" t="s">
        <v>455</v>
      </c>
      <c r="C104" s="18" t="s">
        <v>473</v>
      </c>
      <c r="D104" s="16" t="s">
        <v>57</v>
      </c>
      <c r="E104" s="19"/>
      <c r="F104" s="19"/>
      <c r="G104" s="20" t="n">
        <v>0.22</v>
      </c>
      <c r="H104" s="17" t="s">
        <v>34</v>
      </c>
      <c r="I104" s="21" t="s">
        <v>474</v>
      </c>
      <c r="J104" s="21" t="s">
        <v>475</v>
      </c>
      <c r="K104" s="22"/>
    </row>
    <row r="105" customFormat="false" ht="15" hidden="false" customHeight="true" outlineLevel="0" collapsed="false">
      <c r="A105" s="16" t="s">
        <v>476</v>
      </c>
      <c r="B105" s="17" t="s">
        <v>455</v>
      </c>
      <c r="C105" s="18" t="s">
        <v>477</v>
      </c>
      <c r="D105" s="16" t="s">
        <v>57</v>
      </c>
      <c r="E105" s="19"/>
      <c r="F105" s="19" t="n">
        <v>1</v>
      </c>
      <c r="G105" s="20" t="n">
        <v>1.2</v>
      </c>
      <c r="H105" s="17" t="s">
        <v>34</v>
      </c>
      <c r="I105" s="21" t="s">
        <v>478</v>
      </c>
      <c r="J105" s="21" t="s">
        <v>479</v>
      </c>
      <c r="K105" s="23" t="s">
        <v>480</v>
      </c>
    </row>
    <row r="106" customFormat="false" ht="15" hidden="false" customHeight="true" outlineLevel="0" collapsed="false">
      <c r="A106" s="16" t="s">
        <v>481</v>
      </c>
      <c r="B106" s="17" t="s">
        <v>455</v>
      </c>
      <c r="C106" s="18" t="s">
        <v>482</v>
      </c>
      <c r="D106" s="16" t="s">
        <v>63</v>
      </c>
      <c r="E106" s="19"/>
      <c r="F106" s="19"/>
      <c r="G106" s="20" t="n">
        <v>2.2</v>
      </c>
      <c r="H106" s="17" t="s">
        <v>34</v>
      </c>
      <c r="I106" s="21" t="s">
        <v>483</v>
      </c>
      <c r="J106" s="21" t="s">
        <v>484</v>
      </c>
      <c r="K106" s="22"/>
    </row>
    <row r="107" customFormat="false" ht="15" hidden="false" customHeight="true" outlineLevel="0" collapsed="false">
      <c r="A107" s="24" t="s">
        <v>485</v>
      </c>
      <c r="B107" s="25"/>
      <c r="C107" s="26"/>
      <c r="D107" s="25"/>
      <c r="E107" s="25"/>
      <c r="F107" s="25"/>
      <c r="G107" s="25"/>
      <c r="H107" s="25"/>
      <c r="I107" s="26"/>
      <c r="J107" s="26"/>
      <c r="K107" s="26"/>
    </row>
    <row r="108" customFormat="false" ht="23.25" hidden="false" customHeight="true" outlineLevel="0" collapsed="false">
      <c r="A108" s="16" t="s">
        <v>486</v>
      </c>
      <c r="B108" s="17" t="s">
        <v>487</v>
      </c>
      <c r="C108" s="18" t="s">
        <v>488</v>
      </c>
      <c r="D108" s="16" t="s">
        <v>69</v>
      </c>
      <c r="E108" s="19" t="n">
        <v>0.1</v>
      </c>
      <c r="F108" s="19"/>
      <c r="G108" s="20" t="n">
        <v>0.1</v>
      </c>
      <c r="H108" s="17" t="s">
        <v>32</v>
      </c>
      <c r="I108" s="21" t="s">
        <v>489</v>
      </c>
      <c r="J108" s="21" t="s">
        <v>490</v>
      </c>
      <c r="K108" s="23" t="s">
        <v>491</v>
      </c>
    </row>
    <row r="109" customFormat="false" ht="15" hidden="false" customHeight="false" outlineLevel="0" collapsed="false">
      <c r="A109" s="31" t="s">
        <v>492</v>
      </c>
      <c r="B109" s="32" t="s">
        <v>487</v>
      </c>
      <c r="C109" s="32" t="s">
        <v>493</v>
      </c>
      <c r="D109" s="31" t="s">
        <v>69</v>
      </c>
      <c r="E109" s="33" t="n">
        <v>1.25</v>
      </c>
      <c r="F109" s="33"/>
      <c r="G109" s="34" t="n">
        <v>1.25</v>
      </c>
      <c r="H109" s="32" t="s">
        <v>32</v>
      </c>
      <c r="I109" s="31" t="s">
        <v>494</v>
      </c>
      <c r="J109" s="31" t="s">
        <v>495</v>
      </c>
      <c r="K109" s="35"/>
    </row>
    <row r="110" customFormat="false" ht="15" hidden="false" customHeight="false" outlineLevel="0" collapsed="false">
      <c r="A110" s="31" t="s">
        <v>496</v>
      </c>
      <c r="B110" s="32" t="s">
        <v>487</v>
      </c>
      <c r="C110" s="32" t="s">
        <v>497</v>
      </c>
      <c r="D110" s="31" t="s">
        <v>69</v>
      </c>
      <c r="E110" s="33" t="n">
        <v>0.45</v>
      </c>
      <c r="F110" s="33"/>
      <c r="G110" s="34" t="n">
        <v>0.45</v>
      </c>
      <c r="H110" s="32" t="s">
        <v>32</v>
      </c>
      <c r="I110" s="31" t="s">
        <v>498</v>
      </c>
      <c r="J110" s="31" t="s">
        <v>499</v>
      </c>
      <c r="K110" s="36" t="s">
        <v>500</v>
      </c>
    </row>
    <row r="111" customFormat="false" ht="15" hidden="false" customHeight="false" outlineLevel="0" collapsed="false">
      <c r="A111" s="31" t="s">
        <v>501</v>
      </c>
      <c r="B111" s="32" t="s">
        <v>487</v>
      </c>
      <c r="C111" s="32" t="s">
        <v>502</v>
      </c>
      <c r="D111" s="31" t="s">
        <v>69</v>
      </c>
      <c r="E111" s="33" t="n">
        <v>0.55</v>
      </c>
      <c r="F111" s="33"/>
      <c r="G111" s="34" t="n">
        <v>0.55</v>
      </c>
      <c r="H111" s="32" t="s">
        <v>32</v>
      </c>
      <c r="I111" s="31" t="s">
        <v>503</v>
      </c>
      <c r="J111" s="31" t="s">
        <v>504</v>
      </c>
      <c r="K111" s="35"/>
    </row>
    <row r="112" customFormat="false" ht="15" hidden="false" customHeight="false" outlineLevel="0" collapsed="false">
      <c r="A112" s="37" t="s">
        <v>505</v>
      </c>
      <c r="B112" s="38"/>
      <c r="C112" s="38"/>
      <c r="D112" s="38"/>
      <c r="E112" s="38"/>
      <c r="F112" s="38"/>
      <c r="G112" s="38"/>
      <c r="H112" s="38"/>
      <c r="I112" s="38"/>
      <c r="J112" s="38"/>
      <c r="K112" s="38"/>
    </row>
    <row r="113" customFormat="false" ht="15" hidden="false" customHeight="false" outlineLevel="0" collapsed="false">
      <c r="A113" s="31" t="s">
        <v>506</v>
      </c>
      <c r="B113" s="32" t="s">
        <v>507</v>
      </c>
      <c r="C113" s="32" t="s">
        <v>508</v>
      </c>
      <c r="D113" s="31" t="s">
        <v>57</v>
      </c>
      <c r="E113" s="33" t="n">
        <v>1.3</v>
      </c>
      <c r="F113" s="33"/>
      <c r="G113" s="34" t="n">
        <v>1.3</v>
      </c>
      <c r="H113" s="32" t="s">
        <v>32</v>
      </c>
      <c r="I113" s="31" t="s">
        <v>509</v>
      </c>
      <c r="J113" s="31" t="s">
        <v>510</v>
      </c>
      <c r="K113" s="35"/>
    </row>
    <row r="114" customFormat="false" ht="15" hidden="false" customHeight="false" outlineLevel="0" collapsed="false">
      <c r="A114" s="31" t="s">
        <v>511</v>
      </c>
      <c r="B114" s="32" t="s">
        <v>507</v>
      </c>
      <c r="C114" s="32" t="s">
        <v>512</v>
      </c>
      <c r="D114" s="32" t="s">
        <v>86</v>
      </c>
      <c r="E114" s="33" t="n">
        <v>2</v>
      </c>
      <c r="F114" s="33"/>
      <c r="G114" s="34" t="n">
        <v>2</v>
      </c>
      <c r="H114" s="32" t="s">
        <v>32</v>
      </c>
      <c r="I114" s="31" t="s">
        <v>513</v>
      </c>
      <c r="J114" s="31" t="s">
        <v>514</v>
      </c>
      <c r="K114" s="35"/>
    </row>
    <row r="115" customFormat="false" ht="15" hidden="false" customHeight="false" outlineLevel="0" collapsed="false">
      <c r="A115" s="31" t="s">
        <v>515</v>
      </c>
      <c r="B115" s="32" t="s">
        <v>507</v>
      </c>
      <c r="C115" s="32" t="s">
        <v>516</v>
      </c>
      <c r="D115" s="32" t="s">
        <v>86</v>
      </c>
      <c r="E115" s="33"/>
      <c r="F115" s="33"/>
      <c r="G115" s="34" t="n">
        <v>5</v>
      </c>
      <c r="H115" s="32" t="s">
        <v>34</v>
      </c>
      <c r="I115" s="31" t="s">
        <v>517</v>
      </c>
      <c r="J115" s="31" t="s">
        <v>518</v>
      </c>
      <c r="K115" s="36" t="s">
        <v>519</v>
      </c>
    </row>
    <row r="116" customFormat="false" ht="15" hidden="false" customHeight="false" outlineLevel="0" collapsed="false">
      <c r="A116" s="37" t="s">
        <v>520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</row>
    <row r="117" customFormat="false" ht="15" hidden="false" customHeight="false" outlineLevel="0" collapsed="false">
      <c r="A117" s="31" t="s">
        <v>521</v>
      </c>
      <c r="B117" s="32" t="s">
        <v>522</v>
      </c>
      <c r="C117" s="32" t="s">
        <v>523</v>
      </c>
      <c r="D117" s="31" t="s">
        <v>63</v>
      </c>
      <c r="E117" s="33"/>
      <c r="F117" s="33" t="n">
        <v>1.3</v>
      </c>
      <c r="G117" s="34" t="n">
        <v>1.3</v>
      </c>
      <c r="H117" s="32" t="s">
        <v>34</v>
      </c>
      <c r="I117" s="31" t="s">
        <v>524</v>
      </c>
      <c r="J117" s="31" t="s">
        <v>525</v>
      </c>
      <c r="K117" s="36" t="s">
        <v>526</v>
      </c>
    </row>
    <row r="118" customFormat="false" ht="15" hidden="false" customHeight="false" outlineLevel="0" collapsed="false">
      <c r="A118" s="31" t="s">
        <v>527</v>
      </c>
      <c r="B118" s="32" t="s">
        <v>522</v>
      </c>
      <c r="C118" s="32" t="s">
        <v>528</v>
      </c>
      <c r="D118" s="31" t="s">
        <v>69</v>
      </c>
      <c r="E118" s="33"/>
      <c r="F118" s="33" t="n">
        <v>0.8</v>
      </c>
      <c r="G118" s="34" t="n">
        <v>0.8</v>
      </c>
      <c r="H118" s="32" t="s">
        <v>34</v>
      </c>
      <c r="I118" s="31" t="s">
        <v>529</v>
      </c>
      <c r="J118" s="31" t="s">
        <v>530</v>
      </c>
      <c r="K118" s="35"/>
    </row>
    <row r="119" customFormat="false" ht="15" hidden="false" customHeight="false" outlineLevel="0" collapsed="false">
      <c r="A119" s="37" t="s">
        <v>531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 customFormat="false" ht="15" hidden="false" customHeight="false" outlineLevel="0" collapsed="false">
      <c r="A120" s="31" t="s">
        <v>532</v>
      </c>
      <c r="B120" s="32" t="s">
        <v>533</v>
      </c>
      <c r="C120" s="32" t="s">
        <v>534</v>
      </c>
      <c r="D120" s="31" t="s">
        <v>181</v>
      </c>
      <c r="E120" s="33" t="n">
        <v>30</v>
      </c>
      <c r="F120" s="33" t="n">
        <v>30</v>
      </c>
      <c r="G120" s="34" t="n">
        <v>30</v>
      </c>
      <c r="H120" s="32" t="s">
        <v>32</v>
      </c>
      <c r="I120" s="31" t="s">
        <v>535</v>
      </c>
      <c r="J120" s="31" t="s">
        <v>536</v>
      </c>
      <c r="K120" s="36" t="s">
        <v>537</v>
      </c>
    </row>
    <row r="121" customFormat="false" ht="15" hidden="false" customHeight="false" outlineLevel="0" collapsed="false">
      <c r="A121" s="31" t="s">
        <v>538</v>
      </c>
      <c r="B121" s="32" t="s">
        <v>533</v>
      </c>
      <c r="C121" s="32" t="s">
        <v>539</v>
      </c>
      <c r="D121" s="31" t="s">
        <v>181</v>
      </c>
      <c r="E121" s="33" t="n">
        <v>100</v>
      </c>
      <c r="F121" s="33" t="n">
        <v>100</v>
      </c>
      <c r="G121" s="34" t="n">
        <v>100</v>
      </c>
      <c r="H121" s="32" t="s">
        <v>32</v>
      </c>
      <c r="I121" s="31" t="s">
        <v>535</v>
      </c>
      <c r="J121" s="31" t="s">
        <v>536</v>
      </c>
      <c r="K121" s="36" t="s">
        <v>540</v>
      </c>
    </row>
    <row r="122" customFormat="false" ht="15" hidden="false" customHeight="false" outlineLevel="0" collapsed="false">
      <c r="A122" s="31" t="s">
        <v>541</v>
      </c>
      <c r="B122" s="32" t="s">
        <v>533</v>
      </c>
      <c r="C122" s="32" t="s">
        <v>542</v>
      </c>
      <c r="D122" s="31" t="s">
        <v>57</v>
      </c>
      <c r="E122" s="33" t="n">
        <v>3.8</v>
      </c>
      <c r="F122" s="33"/>
      <c r="G122" s="34" t="n">
        <v>3.8</v>
      </c>
      <c r="H122" s="32" t="s">
        <v>32</v>
      </c>
      <c r="I122" s="31" t="s">
        <v>543</v>
      </c>
      <c r="J122" s="31" t="s">
        <v>544</v>
      </c>
      <c r="K122" s="35" t="s">
        <v>545</v>
      </c>
    </row>
    <row r="123" customFormat="false" ht="15" hidden="false" customHeight="false" outlineLevel="0" collapsed="false">
      <c r="A123" s="31" t="s">
        <v>546</v>
      </c>
      <c r="B123" s="32" t="s">
        <v>533</v>
      </c>
      <c r="C123" s="32" t="s">
        <v>547</v>
      </c>
      <c r="D123" s="31" t="s">
        <v>57</v>
      </c>
      <c r="E123" s="33" t="n">
        <v>12.7</v>
      </c>
      <c r="F123" s="33"/>
      <c r="G123" s="34" t="n">
        <v>12.7</v>
      </c>
      <c r="H123" s="32" t="s">
        <v>32</v>
      </c>
      <c r="I123" s="31" t="s">
        <v>543</v>
      </c>
      <c r="J123" s="31" t="s">
        <v>544</v>
      </c>
      <c r="K123" s="35" t="s">
        <v>548</v>
      </c>
    </row>
    <row r="124" customFormat="false" ht="15" hidden="false" customHeight="false" outlineLevel="0" collapsed="false">
      <c r="A124" s="37" t="s">
        <v>549</v>
      </c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 customFormat="false" ht="15" hidden="false" customHeight="false" outlineLevel="0" collapsed="false">
      <c r="A125" s="31" t="s">
        <v>550</v>
      </c>
      <c r="B125" s="32" t="s">
        <v>549</v>
      </c>
      <c r="C125" s="32" t="s">
        <v>551</v>
      </c>
      <c r="D125" s="31" t="s">
        <v>552</v>
      </c>
      <c r="E125" s="33"/>
      <c r="F125" s="33" t="n">
        <v>0.12</v>
      </c>
      <c r="G125" s="34" t="n">
        <v>0.12</v>
      </c>
      <c r="H125" s="32" t="s">
        <v>34</v>
      </c>
      <c r="I125" s="31" t="s">
        <v>553</v>
      </c>
      <c r="J125" s="31" t="s">
        <v>554</v>
      </c>
      <c r="K125" s="36" t="s">
        <v>555</v>
      </c>
    </row>
    <row r="126" customFormat="false" ht="15" hidden="false" customHeight="false" outlineLevel="0" collapsed="false">
      <c r="A126" s="31" t="s">
        <v>556</v>
      </c>
      <c r="B126" s="32" t="s">
        <v>549</v>
      </c>
      <c r="C126" s="32" t="s">
        <v>557</v>
      </c>
      <c r="D126" s="31" t="s">
        <v>558</v>
      </c>
      <c r="E126" s="33"/>
      <c r="F126" s="33" t="n">
        <v>28</v>
      </c>
      <c r="G126" s="34" t="n">
        <v>28</v>
      </c>
      <c r="H126" s="32" t="s">
        <v>34</v>
      </c>
      <c r="I126" s="31" t="s">
        <v>559</v>
      </c>
      <c r="J126" s="31" t="s">
        <v>560</v>
      </c>
      <c r="K126" s="36" t="s">
        <v>561</v>
      </c>
    </row>
    <row r="127" customFormat="false" ht="15" hidden="false" customHeight="false" outlineLevel="0" collapsed="false">
      <c r="A127" s="31" t="s">
        <v>562</v>
      </c>
      <c r="B127" s="32" t="s">
        <v>549</v>
      </c>
      <c r="C127" s="32" t="s">
        <v>563</v>
      </c>
      <c r="D127" s="31" t="s">
        <v>57</v>
      </c>
      <c r="E127" s="33" t="n">
        <v>3.2</v>
      </c>
      <c r="F127" s="33" t="n">
        <v>3.2</v>
      </c>
      <c r="G127" s="34" t="n">
        <v>3.2</v>
      </c>
      <c r="H127" s="32" t="s">
        <v>32</v>
      </c>
      <c r="I127" s="31" t="s">
        <v>564</v>
      </c>
      <c r="J127" s="31" t="s">
        <v>565</v>
      </c>
      <c r="K127" s="35"/>
    </row>
    <row r="128" customFormat="false" ht="15" hidden="false" customHeight="false" outlineLevel="0" collapsed="false">
      <c r="A128" s="31" t="s">
        <v>566</v>
      </c>
      <c r="B128" s="32" t="s">
        <v>549</v>
      </c>
      <c r="C128" s="31" t="s">
        <v>567</v>
      </c>
      <c r="D128" s="31" t="s">
        <v>251</v>
      </c>
      <c r="E128" s="33"/>
      <c r="F128" s="33" t="n">
        <v>0.05</v>
      </c>
      <c r="G128" s="34" t="n">
        <v>0.05</v>
      </c>
      <c r="H128" s="32" t="s">
        <v>34</v>
      </c>
      <c r="I128" s="31" t="s">
        <v>568</v>
      </c>
      <c r="J128" s="31" t="s">
        <v>569</v>
      </c>
      <c r="K128" s="35"/>
    </row>
    <row r="129" customFormat="false" ht="15" hidden="false" customHeight="false" outlineLevel="0" collapsed="false">
      <c r="A129" s="31" t="s">
        <v>570</v>
      </c>
      <c r="B129" s="32" t="s">
        <v>549</v>
      </c>
      <c r="C129" s="32" t="s">
        <v>571</v>
      </c>
      <c r="D129" s="31" t="s">
        <v>57</v>
      </c>
      <c r="E129" s="33" t="n">
        <v>7.5</v>
      </c>
      <c r="F129" s="33" t="n">
        <v>7.5</v>
      </c>
      <c r="G129" s="34" t="n">
        <v>7.5</v>
      </c>
      <c r="H129" s="32" t="s">
        <v>32</v>
      </c>
      <c r="I129" s="31" t="s">
        <v>572</v>
      </c>
      <c r="J129" s="31" t="s">
        <v>573</v>
      </c>
      <c r="K129" s="35"/>
    </row>
    <row r="130" customFormat="false" ht="15" hidden="false" customHeight="false" outlineLevel="0" collapsed="false">
      <c r="A130" s="31" t="s">
        <v>574</v>
      </c>
      <c r="B130" s="32" t="s">
        <v>549</v>
      </c>
      <c r="C130" s="32" t="s">
        <v>575</v>
      </c>
      <c r="D130" s="31" t="s">
        <v>57</v>
      </c>
      <c r="E130" s="33"/>
      <c r="F130" s="33" t="n">
        <v>0.55</v>
      </c>
      <c r="G130" s="34" t="n">
        <v>0.55</v>
      </c>
      <c r="H130" s="32" t="s">
        <v>34</v>
      </c>
      <c r="I130" s="31" t="s">
        <v>576</v>
      </c>
      <c r="J130" s="31" t="s">
        <v>577</v>
      </c>
      <c r="K130" s="36" t="s">
        <v>578</v>
      </c>
    </row>
    <row r="131" customFormat="false" ht="15" hidden="false" customHeight="false" outlineLevel="0" collapsed="false">
      <c r="A131" s="37" t="s">
        <v>579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 customFormat="false" ht="15" hidden="false" customHeight="false" outlineLevel="0" collapsed="false">
      <c r="A132" s="31" t="s">
        <v>580</v>
      </c>
      <c r="B132" s="32" t="s">
        <v>581</v>
      </c>
      <c r="C132" s="32" t="s">
        <v>582</v>
      </c>
      <c r="D132" s="32" t="s">
        <v>86</v>
      </c>
      <c r="E132" s="33"/>
      <c r="F132" s="33" t="n">
        <v>1.6</v>
      </c>
      <c r="G132" s="34" t="n">
        <v>1.6</v>
      </c>
      <c r="H132" s="32" t="s">
        <v>32</v>
      </c>
      <c r="I132" s="31" t="s">
        <v>583</v>
      </c>
      <c r="J132" s="31" t="s">
        <v>584</v>
      </c>
      <c r="K132" s="35"/>
    </row>
    <row r="133" customFormat="false" ht="15" hidden="false" customHeight="false" outlineLevel="0" collapsed="false">
      <c r="A133" s="31" t="s">
        <v>585</v>
      </c>
      <c r="B133" s="32" t="s">
        <v>581</v>
      </c>
      <c r="C133" s="32" t="s">
        <v>586</v>
      </c>
      <c r="D133" s="32" t="s">
        <v>86</v>
      </c>
      <c r="E133" s="33"/>
      <c r="F133" s="33" t="n">
        <v>1.1</v>
      </c>
      <c r="G133" s="34" t="n">
        <v>1.1</v>
      </c>
      <c r="H133" s="32" t="s">
        <v>32</v>
      </c>
      <c r="I133" s="31" t="s">
        <v>583</v>
      </c>
      <c r="J133" s="31" t="s">
        <v>587</v>
      </c>
      <c r="K133" s="35" t="s">
        <v>588</v>
      </c>
    </row>
    <row r="134" customFormat="false" ht="15" hidden="false" customHeight="false" outlineLevel="0" collapsed="false">
      <c r="A134" s="31" t="s">
        <v>589</v>
      </c>
      <c r="B134" s="32" t="s">
        <v>581</v>
      </c>
      <c r="C134" s="32" t="s">
        <v>590</v>
      </c>
      <c r="D134" s="32" t="s">
        <v>86</v>
      </c>
      <c r="E134" s="33"/>
      <c r="F134" s="33" t="n">
        <v>1.2</v>
      </c>
      <c r="G134" s="34" t="n">
        <v>1.2</v>
      </c>
      <c r="H134" s="32" t="s">
        <v>32</v>
      </c>
      <c r="I134" s="31" t="s">
        <v>583</v>
      </c>
      <c r="J134" s="31" t="s">
        <v>591</v>
      </c>
      <c r="K134" s="35"/>
    </row>
    <row r="135" customFormat="false" ht="15" hidden="false" customHeight="false" outlineLevel="0" collapsed="false">
      <c r="A135" s="31" t="s">
        <v>592</v>
      </c>
      <c r="B135" s="32" t="s">
        <v>581</v>
      </c>
      <c r="C135" s="32" t="s">
        <v>593</v>
      </c>
      <c r="D135" s="32" t="s">
        <v>86</v>
      </c>
      <c r="E135" s="33"/>
      <c r="F135" s="33" t="n">
        <v>1.2</v>
      </c>
      <c r="G135" s="34" t="n">
        <v>1.2</v>
      </c>
      <c r="H135" s="32" t="s">
        <v>32</v>
      </c>
      <c r="I135" s="31" t="s">
        <v>583</v>
      </c>
      <c r="J135" s="31" t="s">
        <v>594</v>
      </c>
      <c r="K135" s="35"/>
    </row>
    <row r="136" customFormat="false" ht="15" hidden="false" customHeight="false" outlineLevel="0" collapsed="false">
      <c r="A136" s="31" t="s">
        <v>595</v>
      </c>
      <c r="B136" s="32" t="s">
        <v>581</v>
      </c>
      <c r="C136" s="32" t="s">
        <v>596</v>
      </c>
      <c r="D136" s="32" t="s">
        <v>86</v>
      </c>
      <c r="E136" s="33"/>
      <c r="F136" s="33" t="n">
        <v>0.12</v>
      </c>
      <c r="G136" s="34" t="n">
        <v>0.12</v>
      </c>
      <c r="H136" s="32" t="s">
        <v>32</v>
      </c>
      <c r="I136" s="31" t="s">
        <v>597</v>
      </c>
      <c r="J136" s="31" t="s">
        <v>598</v>
      </c>
      <c r="K136" s="35"/>
    </row>
    <row r="137" customFormat="false" ht="15" hidden="false" customHeight="false" outlineLevel="0" collapsed="false">
      <c r="A137" s="31" t="s">
        <v>599</v>
      </c>
      <c r="B137" s="32" t="s">
        <v>581</v>
      </c>
      <c r="C137" s="32" t="s">
        <v>600</v>
      </c>
      <c r="D137" s="32" t="s">
        <v>86</v>
      </c>
      <c r="E137" s="33"/>
      <c r="F137" s="33" t="n">
        <v>0.07</v>
      </c>
      <c r="G137" s="34" t="n">
        <v>0.07</v>
      </c>
      <c r="H137" s="32" t="s">
        <v>32</v>
      </c>
      <c r="I137" s="31" t="s">
        <v>597</v>
      </c>
      <c r="J137" s="31" t="s">
        <v>601</v>
      </c>
      <c r="K137" s="35"/>
    </row>
    <row r="138" customFormat="false" ht="15" hidden="false" customHeight="false" outlineLevel="0" collapsed="false">
      <c r="A138" s="31" t="s">
        <v>602</v>
      </c>
      <c r="B138" s="32" t="s">
        <v>581</v>
      </c>
      <c r="C138" s="32" t="s">
        <v>603</v>
      </c>
      <c r="D138" s="32" t="s">
        <v>86</v>
      </c>
      <c r="E138" s="33"/>
      <c r="F138" s="33"/>
      <c r="G138" s="34" t="n">
        <v>0.42</v>
      </c>
      <c r="H138" s="32" t="s">
        <v>34</v>
      </c>
      <c r="I138" s="31" t="s">
        <v>604</v>
      </c>
      <c r="J138" s="31" t="s">
        <v>605</v>
      </c>
      <c r="K138" s="35"/>
    </row>
    <row r="139" customFormat="false" ht="15" hidden="false" customHeight="false" outlineLevel="0" collapsed="false">
      <c r="A139" s="37" t="s">
        <v>606</v>
      </c>
      <c r="B139" s="38"/>
      <c r="C139" s="38"/>
      <c r="D139" s="38"/>
      <c r="E139" s="38"/>
      <c r="F139" s="38"/>
      <c r="G139" s="38"/>
      <c r="H139" s="38"/>
      <c r="I139" s="38"/>
      <c r="J139" s="38"/>
      <c r="K139" s="38"/>
    </row>
    <row r="140" customFormat="false" ht="15" hidden="false" customHeight="false" outlineLevel="0" collapsed="false">
      <c r="A140" s="31" t="s">
        <v>607</v>
      </c>
      <c r="B140" s="32" t="s">
        <v>606</v>
      </c>
      <c r="C140" s="32" t="s">
        <v>608</v>
      </c>
      <c r="D140" s="32" t="s">
        <v>609</v>
      </c>
      <c r="E140" s="33" t="n">
        <v>34</v>
      </c>
      <c r="F140" s="33"/>
      <c r="G140" s="34" t="n">
        <v>34</v>
      </c>
      <c r="H140" s="32" t="s">
        <v>32</v>
      </c>
      <c r="I140" s="31" t="s">
        <v>610</v>
      </c>
      <c r="J140" s="31" t="s">
        <v>611</v>
      </c>
      <c r="K140" s="35" t="s">
        <v>612</v>
      </c>
    </row>
    <row r="141" customFormat="false" ht="15" hidden="false" customHeight="false" outlineLevel="0" collapsed="false">
      <c r="A141" s="31" t="s">
        <v>613</v>
      </c>
      <c r="B141" s="32" t="s">
        <v>606</v>
      </c>
      <c r="C141" s="32" t="s">
        <v>614</v>
      </c>
      <c r="D141" s="32" t="s">
        <v>609</v>
      </c>
      <c r="E141" s="33" t="n">
        <v>41</v>
      </c>
      <c r="F141" s="33"/>
      <c r="G141" s="34" t="n">
        <v>41</v>
      </c>
      <c r="H141" s="32" t="s">
        <v>32</v>
      </c>
      <c r="I141" s="31" t="s">
        <v>615</v>
      </c>
      <c r="J141" s="31" t="s">
        <v>611</v>
      </c>
      <c r="K141" s="35"/>
    </row>
    <row r="142" customFormat="false" ht="15" hidden="false" customHeight="false" outlineLevel="0" collapsed="false">
      <c r="A142" s="31" t="s">
        <v>616</v>
      </c>
      <c r="B142" s="32" t="s">
        <v>606</v>
      </c>
      <c r="C142" s="32" t="s">
        <v>617</v>
      </c>
      <c r="D142" s="32" t="s">
        <v>432</v>
      </c>
      <c r="E142" s="33" t="n">
        <v>7</v>
      </c>
      <c r="F142" s="33" t="n">
        <v>6</v>
      </c>
      <c r="G142" s="34" t="n">
        <v>7</v>
      </c>
      <c r="H142" s="32" t="s">
        <v>32</v>
      </c>
      <c r="I142" s="31" t="s">
        <v>618</v>
      </c>
      <c r="J142" s="31" t="s">
        <v>619</v>
      </c>
      <c r="K142" s="36" t="s">
        <v>620</v>
      </c>
    </row>
    <row r="143" customFormat="false" ht="15" hidden="false" customHeight="false" outlineLevel="0" collapsed="false">
      <c r="A143" s="31" t="s">
        <v>621</v>
      </c>
      <c r="B143" s="32" t="s">
        <v>606</v>
      </c>
      <c r="C143" s="32" t="s">
        <v>622</v>
      </c>
      <c r="D143" s="32" t="s">
        <v>432</v>
      </c>
      <c r="E143" s="33" t="n">
        <v>5</v>
      </c>
      <c r="F143" s="33"/>
      <c r="G143" s="34" t="n">
        <v>5</v>
      </c>
      <c r="H143" s="32" t="s">
        <v>32</v>
      </c>
      <c r="I143" s="31" t="s">
        <v>623</v>
      </c>
      <c r="J143" s="31" t="s">
        <v>611</v>
      </c>
      <c r="K143" s="35" t="s">
        <v>624</v>
      </c>
    </row>
    <row r="144" customFormat="false" ht="15" hidden="false" customHeight="false" outlineLevel="0" collapsed="false">
      <c r="A144" s="31" t="s">
        <v>625</v>
      </c>
      <c r="B144" s="32" t="s">
        <v>606</v>
      </c>
      <c r="C144" s="32" t="s">
        <v>626</v>
      </c>
      <c r="D144" s="32" t="s">
        <v>432</v>
      </c>
      <c r="E144" s="33" t="n">
        <v>5</v>
      </c>
      <c r="F144" s="33" t="n">
        <v>5</v>
      </c>
      <c r="G144" s="34" t="n">
        <v>5</v>
      </c>
      <c r="H144" s="32" t="s">
        <v>32</v>
      </c>
      <c r="I144" s="31" t="s">
        <v>627</v>
      </c>
      <c r="J144" s="31" t="s">
        <v>628</v>
      </c>
      <c r="K144" s="36" t="s">
        <v>629</v>
      </c>
    </row>
    <row r="145" customFormat="false" ht="15" hidden="false" customHeight="false" outlineLevel="0" collapsed="false">
      <c r="A145" s="31" t="s">
        <v>630</v>
      </c>
      <c r="B145" s="32" t="s">
        <v>606</v>
      </c>
      <c r="C145" s="32" t="s">
        <v>631</v>
      </c>
      <c r="D145" s="32" t="s">
        <v>632</v>
      </c>
      <c r="E145" s="33"/>
      <c r="F145" s="33" t="n">
        <v>60</v>
      </c>
      <c r="G145" s="34"/>
      <c r="H145" s="32" t="s">
        <v>34</v>
      </c>
      <c r="I145" s="31" t="s">
        <v>633</v>
      </c>
      <c r="J145" s="31" t="s">
        <v>634</v>
      </c>
      <c r="K145" s="36" t="s">
        <v>635</v>
      </c>
    </row>
    <row r="146" customFormat="false" ht="15" hidden="false" customHeight="false" outlineLevel="0" collapsed="false">
      <c r="A146" s="31" t="s">
        <v>636</v>
      </c>
      <c r="B146" s="32" t="s">
        <v>606</v>
      </c>
      <c r="C146" s="32" t="s">
        <v>637</v>
      </c>
      <c r="D146" s="32" t="s">
        <v>86</v>
      </c>
      <c r="E146" s="33" t="n">
        <v>3.5</v>
      </c>
      <c r="F146" s="33" t="n">
        <v>6</v>
      </c>
      <c r="G146" s="34" t="n">
        <v>3.5</v>
      </c>
      <c r="H146" s="32" t="s">
        <v>34</v>
      </c>
      <c r="I146" s="31" t="s">
        <v>638</v>
      </c>
      <c r="J146" s="31" t="s">
        <v>639</v>
      </c>
      <c r="K146" s="36" t="s">
        <v>640</v>
      </c>
    </row>
    <row r="147" customFormat="false" ht="15" hidden="false" customHeight="false" outlineLevel="0" collapsed="false">
      <c r="A147" s="31" t="s">
        <v>641</v>
      </c>
      <c r="B147" s="32" t="s">
        <v>606</v>
      </c>
      <c r="C147" s="32" t="s">
        <v>642</v>
      </c>
      <c r="D147" s="32" t="s">
        <v>86</v>
      </c>
      <c r="E147" s="33"/>
      <c r="F147" s="33" t="n">
        <v>15</v>
      </c>
      <c r="G147" s="34" t="n">
        <v>15</v>
      </c>
      <c r="H147" s="32" t="s">
        <v>34</v>
      </c>
      <c r="I147" s="31" t="s">
        <v>643</v>
      </c>
      <c r="J147" s="31" t="s">
        <v>644</v>
      </c>
      <c r="K147" s="35"/>
    </row>
    <row r="148" customFormat="false" ht="15" hidden="false" customHeight="false" outlineLevel="0" collapsed="false">
      <c r="A148" s="37" t="s">
        <v>645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 customFormat="false" ht="15" hidden="false" customHeight="false" outlineLevel="0" collapsed="false">
      <c r="A149" s="39" t="s">
        <v>646</v>
      </c>
      <c r="B149" s="40" t="s">
        <v>55</v>
      </c>
      <c r="C149" s="40" t="s">
        <v>647</v>
      </c>
      <c r="D149" s="39" t="s">
        <v>69</v>
      </c>
      <c r="E149" s="39"/>
      <c r="F149" s="39" t="n">
        <v>1.6</v>
      </c>
      <c r="G149" s="39"/>
      <c r="H149" s="40" t="s">
        <v>38</v>
      </c>
      <c r="I149" s="39"/>
      <c r="J149" s="39"/>
      <c r="K149" s="41" t="s">
        <v>648</v>
      </c>
    </row>
    <row r="150" customFormat="false" ht="15" hidden="false" customHeight="false" outlineLevel="0" collapsed="false">
      <c r="A150" s="39" t="s">
        <v>649</v>
      </c>
      <c r="B150" s="40" t="s">
        <v>55</v>
      </c>
      <c r="C150" s="40" t="s">
        <v>650</v>
      </c>
      <c r="D150" s="40" t="s">
        <v>86</v>
      </c>
      <c r="E150" s="39"/>
      <c r="F150" s="39" t="n">
        <v>2.5</v>
      </c>
      <c r="G150" s="39"/>
      <c r="H150" s="40" t="s">
        <v>38</v>
      </c>
      <c r="I150" s="39"/>
      <c r="J150" s="39"/>
      <c r="K150" s="42" t="s">
        <v>651</v>
      </c>
    </row>
    <row r="151" customFormat="false" ht="15" hidden="false" customHeight="false" outlineLevel="0" collapsed="false">
      <c r="A151" s="39" t="s">
        <v>652</v>
      </c>
      <c r="B151" s="40" t="s">
        <v>55</v>
      </c>
      <c r="C151" s="40" t="s">
        <v>653</v>
      </c>
      <c r="D151" s="40" t="s">
        <v>86</v>
      </c>
      <c r="E151" s="39"/>
      <c r="F151" s="39" t="n">
        <v>4</v>
      </c>
      <c r="G151" s="39"/>
      <c r="H151" s="40" t="s">
        <v>38</v>
      </c>
      <c r="I151" s="39"/>
      <c r="J151" s="39"/>
      <c r="K151" s="42" t="s">
        <v>651</v>
      </c>
    </row>
    <row r="152" customFormat="false" ht="15" hidden="false" customHeight="false" outlineLevel="0" collapsed="false">
      <c r="A152" s="39" t="s">
        <v>654</v>
      </c>
      <c r="B152" s="40" t="s">
        <v>55</v>
      </c>
      <c r="C152" s="40" t="s">
        <v>655</v>
      </c>
      <c r="D152" s="40" t="s">
        <v>86</v>
      </c>
      <c r="E152" s="39"/>
      <c r="F152" s="39" t="n">
        <v>0.8</v>
      </c>
      <c r="G152" s="39"/>
      <c r="H152" s="40" t="s">
        <v>38</v>
      </c>
      <c r="I152" s="39"/>
      <c r="J152" s="39"/>
      <c r="K152" s="42" t="s">
        <v>651</v>
      </c>
    </row>
    <row r="153" customFormat="false" ht="15" hidden="false" customHeight="false" outlineLevel="0" collapsed="false">
      <c r="A153" s="39" t="s">
        <v>656</v>
      </c>
      <c r="B153" s="40" t="s">
        <v>55</v>
      </c>
      <c r="C153" s="40" t="s">
        <v>657</v>
      </c>
      <c r="D153" s="40" t="s">
        <v>120</v>
      </c>
      <c r="E153" s="39"/>
      <c r="F153" s="39" t="n">
        <v>1</v>
      </c>
      <c r="G153" s="39"/>
      <c r="H153" s="40" t="s">
        <v>38</v>
      </c>
      <c r="I153" s="39"/>
      <c r="J153" s="39"/>
      <c r="K153" s="41" t="s">
        <v>658</v>
      </c>
    </row>
    <row r="154" customFormat="false" ht="15" hidden="false" customHeight="false" outlineLevel="0" collapsed="false">
      <c r="A154" s="39" t="s">
        <v>659</v>
      </c>
      <c r="B154" s="40" t="s">
        <v>259</v>
      </c>
      <c r="C154" s="40" t="s">
        <v>660</v>
      </c>
      <c r="D154" s="40" t="s">
        <v>120</v>
      </c>
      <c r="E154" s="39"/>
      <c r="F154" s="39" t="n">
        <v>1</v>
      </c>
      <c r="G154" s="39"/>
      <c r="H154" s="40" t="s">
        <v>38</v>
      </c>
      <c r="I154" s="39"/>
      <c r="J154" s="39"/>
      <c r="K154" s="42" t="s">
        <v>661</v>
      </c>
    </row>
    <row r="155" customFormat="false" ht="15" hidden="false" customHeight="false" outlineLevel="0" collapsed="false">
      <c r="A155" s="39" t="s">
        <v>662</v>
      </c>
      <c r="B155" s="40" t="s">
        <v>179</v>
      </c>
      <c r="C155" s="40" t="s">
        <v>663</v>
      </c>
      <c r="D155" s="39" t="s">
        <v>69</v>
      </c>
      <c r="E155" s="39"/>
      <c r="F155" s="39" t="n">
        <v>1.7</v>
      </c>
      <c r="G155" s="39"/>
      <c r="H155" s="40" t="s">
        <v>38</v>
      </c>
      <c r="I155" s="39"/>
      <c r="J155" s="39"/>
      <c r="K155" s="41" t="s">
        <v>664</v>
      </c>
    </row>
    <row r="156" customFormat="false" ht="15" hidden="false" customHeight="false" outlineLevel="0" collapsed="false">
      <c r="A156" s="39" t="s">
        <v>665</v>
      </c>
      <c r="B156" s="40" t="s">
        <v>320</v>
      </c>
      <c r="C156" s="40" t="s">
        <v>666</v>
      </c>
      <c r="D156" s="39" t="s">
        <v>57</v>
      </c>
      <c r="E156" s="39"/>
      <c r="F156" s="39" t="n">
        <v>2</v>
      </c>
      <c r="G156" s="39"/>
      <c r="H156" s="40" t="s">
        <v>38</v>
      </c>
      <c r="I156" s="39"/>
      <c r="J156" s="39"/>
      <c r="K156" s="41" t="s">
        <v>667</v>
      </c>
    </row>
    <row r="157" customFormat="false" ht="15" hidden="false" customHeight="false" outlineLevel="0" collapsed="false">
      <c r="A157" s="39" t="s">
        <v>668</v>
      </c>
      <c r="B157" s="40" t="s">
        <v>383</v>
      </c>
      <c r="C157" s="40" t="s">
        <v>669</v>
      </c>
      <c r="D157" s="39" t="s">
        <v>57</v>
      </c>
      <c r="E157" s="39"/>
      <c r="F157" s="39" t="n">
        <v>7</v>
      </c>
      <c r="G157" s="39"/>
      <c r="H157" s="40" t="s">
        <v>38</v>
      </c>
      <c r="I157" s="39"/>
      <c r="J157" s="39"/>
      <c r="K157" s="41" t="s">
        <v>670</v>
      </c>
    </row>
    <row r="158" customFormat="false" ht="15" hidden="false" customHeight="false" outlineLevel="0" collapsed="false">
      <c r="A158" s="39" t="s">
        <v>671</v>
      </c>
      <c r="B158" s="40" t="s">
        <v>672</v>
      </c>
      <c r="C158" s="40" t="s">
        <v>673</v>
      </c>
      <c r="D158" s="39" t="s">
        <v>558</v>
      </c>
      <c r="E158" s="39"/>
      <c r="F158" s="39" t="n">
        <v>90</v>
      </c>
      <c r="G158" s="39"/>
      <c r="H158" s="40" t="s">
        <v>38</v>
      </c>
      <c r="I158" s="39"/>
      <c r="J158" s="39"/>
      <c r="K158" s="41" t="s">
        <v>674</v>
      </c>
    </row>
    <row r="159" customFormat="false" ht="15" hidden="false" customHeight="false" outlineLevel="0" collapsed="false">
      <c r="A159" s="39" t="s">
        <v>675</v>
      </c>
      <c r="B159" s="40" t="s">
        <v>672</v>
      </c>
      <c r="C159" s="40" t="s">
        <v>676</v>
      </c>
      <c r="D159" s="39" t="s">
        <v>57</v>
      </c>
      <c r="E159" s="39"/>
      <c r="F159" s="39" t="n">
        <v>6</v>
      </c>
      <c r="G159" s="39"/>
      <c r="H159" s="40" t="s">
        <v>38</v>
      </c>
      <c r="I159" s="39"/>
      <c r="J159" s="39"/>
      <c r="K159" s="42" t="s">
        <v>677</v>
      </c>
    </row>
    <row r="160" customFormat="false" ht="15" hidden="false" customHeight="false" outlineLevel="0" collapsed="false">
      <c r="A160" s="39" t="s">
        <v>678</v>
      </c>
      <c r="B160" s="40" t="s">
        <v>672</v>
      </c>
      <c r="C160" s="40" t="s">
        <v>679</v>
      </c>
      <c r="D160" s="39" t="s">
        <v>57</v>
      </c>
      <c r="E160" s="39"/>
      <c r="F160" s="39" t="n">
        <v>1.5</v>
      </c>
      <c r="G160" s="39"/>
      <c r="H160" s="40" t="s">
        <v>38</v>
      </c>
      <c r="I160" s="39"/>
      <c r="J160" s="39"/>
      <c r="K160" s="42" t="s">
        <v>677</v>
      </c>
    </row>
    <row r="161" customFormat="false" ht="15" hidden="false" customHeight="false" outlineLevel="0" collapsed="false">
      <c r="A161" s="39" t="s">
        <v>680</v>
      </c>
      <c r="B161" s="40" t="s">
        <v>672</v>
      </c>
      <c r="C161" s="40" t="s">
        <v>681</v>
      </c>
      <c r="D161" s="39" t="s">
        <v>69</v>
      </c>
      <c r="E161" s="39"/>
      <c r="F161" s="39" t="n">
        <v>2.5</v>
      </c>
      <c r="G161" s="39"/>
      <c r="H161" s="40" t="s">
        <v>38</v>
      </c>
      <c r="I161" s="39"/>
      <c r="J161" s="39"/>
      <c r="K161" s="42" t="s">
        <v>677</v>
      </c>
    </row>
    <row r="162" customFormat="false" ht="15" hidden="false" customHeight="false" outlineLevel="0" collapsed="false">
      <c r="A162" s="39" t="s">
        <v>682</v>
      </c>
      <c r="B162" s="40" t="s">
        <v>672</v>
      </c>
      <c r="C162" s="40" t="s">
        <v>683</v>
      </c>
      <c r="D162" s="40" t="s">
        <v>86</v>
      </c>
      <c r="E162" s="39"/>
      <c r="F162" s="39" t="n">
        <v>1</v>
      </c>
      <c r="G162" s="39"/>
      <c r="H162" s="40" t="s">
        <v>38</v>
      </c>
      <c r="I162" s="39"/>
      <c r="J162" s="39"/>
      <c r="K162" s="42" t="s">
        <v>677</v>
      </c>
    </row>
    <row r="163" customFormat="false" ht="15" hidden="false" customHeight="false" outlineLevel="0" collapsed="false">
      <c r="A163" s="39" t="s">
        <v>684</v>
      </c>
      <c r="B163" s="40" t="s">
        <v>672</v>
      </c>
      <c r="C163" s="40" t="s">
        <v>685</v>
      </c>
      <c r="D163" s="39" t="s">
        <v>63</v>
      </c>
      <c r="E163" s="39"/>
      <c r="F163" s="39" t="n">
        <v>0.9</v>
      </c>
      <c r="G163" s="39"/>
      <c r="H163" s="40" t="s">
        <v>38</v>
      </c>
      <c r="I163" s="39"/>
      <c r="J163" s="39"/>
      <c r="K163" s="42" t="s">
        <v>677</v>
      </c>
    </row>
    <row r="164" customFormat="false" ht="15" hidden="false" customHeight="false" outlineLevel="0" collapsed="false">
      <c r="A164" s="39" t="s">
        <v>686</v>
      </c>
      <c r="B164" s="40" t="s">
        <v>672</v>
      </c>
      <c r="C164" s="40" t="s">
        <v>687</v>
      </c>
      <c r="D164" s="40" t="s">
        <v>86</v>
      </c>
      <c r="E164" s="39"/>
      <c r="F164" s="39" t="n">
        <v>2</v>
      </c>
      <c r="G164" s="39"/>
      <c r="H164" s="40" t="s">
        <v>38</v>
      </c>
      <c r="I164" s="39"/>
      <c r="J164" s="39"/>
      <c r="K164" s="42" t="s">
        <v>677</v>
      </c>
    </row>
    <row r="165" customFormat="false" ht="15" hidden="false" customHeight="false" outlineLevel="0" collapsed="false">
      <c r="A165" s="39" t="s">
        <v>688</v>
      </c>
      <c r="B165" s="40" t="s">
        <v>672</v>
      </c>
      <c r="C165" s="40" t="s">
        <v>689</v>
      </c>
      <c r="D165" s="40" t="s">
        <v>86</v>
      </c>
      <c r="E165" s="39"/>
      <c r="F165" s="39" t="n">
        <v>0.8</v>
      </c>
      <c r="G165" s="39"/>
      <c r="H165" s="40" t="s">
        <v>38</v>
      </c>
      <c r="I165" s="39"/>
      <c r="J165" s="39"/>
      <c r="K165" s="42" t="s">
        <v>677</v>
      </c>
    </row>
    <row r="166" customFormat="false" ht="15" hidden="false" customHeight="false" outlineLevel="0" collapsed="false">
      <c r="A166" s="39" t="s">
        <v>690</v>
      </c>
      <c r="B166" s="40" t="s">
        <v>672</v>
      </c>
      <c r="C166" s="40" t="s">
        <v>691</v>
      </c>
      <c r="D166" s="40" t="s">
        <v>86</v>
      </c>
      <c r="E166" s="39"/>
      <c r="F166" s="39" t="n">
        <v>1.5</v>
      </c>
      <c r="G166" s="39"/>
      <c r="H166" s="40" t="s">
        <v>38</v>
      </c>
      <c r="I166" s="39"/>
      <c r="J166" s="39"/>
      <c r="K166" s="42" t="s">
        <v>677</v>
      </c>
    </row>
    <row r="167" customFormat="false" ht="15" hidden="false" customHeight="false" outlineLevel="0" collapsed="false">
      <c r="A167" s="39" t="s">
        <v>692</v>
      </c>
      <c r="B167" s="40" t="s">
        <v>672</v>
      </c>
      <c r="C167" s="40" t="s">
        <v>693</v>
      </c>
      <c r="D167" s="39" t="s">
        <v>57</v>
      </c>
      <c r="E167" s="39"/>
      <c r="F167" s="39" t="n">
        <v>1.2</v>
      </c>
      <c r="G167" s="39"/>
      <c r="H167" s="40" t="s">
        <v>38</v>
      </c>
      <c r="I167" s="39"/>
      <c r="J167" s="39"/>
      <c r="K167" s="42" t="s">
        <v>677</v>
      </c>
    </row>
    <row r="168" customFormat="false" ht="15" hidden="false" customHeight="false" outlineLevel="0" collapsed="false">
      <c r="A168" s="39" t="s">
        <v>694</v>
      </c>
      <c r="B168" s="40" t="s">
        <v>672</v>
      </c>
      <c r="C168" s="40" t="s">
        <v>695</v>
      </c>
      <c r="D168" s="40" t="s">
        <v>86</v>
      </c>
      <c r="E168" s="39"/>
      <c r="F168" s="39" t="n">
        <v>3</v>
      </c>
      <c r="G168" s="39"/>
      <c r="H168" s="40" t="s">
        <v>38</v>
      </c>
      <c r="I168" s="39"/>
      <c r="J168" s="39"/>
      <c r="K168" s="42" t="s">
        <v>677</v>
      </c>
    </row>
    <row r="169" customFormat="false" ht="15" hidden="false" customHeight="false" outlineLevel="0" collapsed="false">
      <c r="A169" s="39" t="s">
        <v>696</v>
      </c>
      <c r="B169" s="40" t="s">
        <v>533</v>
      </c>
      <c r="C169" s="40" t="s">
        <v>697</v>
      </c>
      <c r="D169" s="40" t="s">
        <v>86</v>
      </c>
      <c r="E169" s="39"/>
      <c r="F169" s="39" t="n">
        <v>0.1</v>
      </c>
      <c r="G169" s="39"/>
      <c r="H169" s="40" t="s">
        <v>38</v>
      </c>
      <c r="I169" s="39"/>
      <c r="J169" s="39"/>
      <c r="K169" s="41" t="s">
        <v>698</v>
      </c>
    </row>
    <row r="170" customFormat="false" ht="15" hidden="false" customHeight="false" outlineLevel="0" collapsed="false">
      <c r="A170" s="39" t="s">
        <v>699</v>
      </c>
      <c r="B170" s="40" t="s">
        <v>606</v>
      </c>
      <c r="C170" s="40" t="s">
        <v>700</v>
      </c>
      <c r="D170" s="40" t="s">
        <v>432</v>
      </c>
      <c r="E170" s="39"/>
      <c r="F170" s="39" t="n">
        <v>5</v>
      </c>
      <c r="G170" s="39"/>
      <c r="H170" s="40" t="s">
        <v>38</v>
      </c>
      <c r="I170" s="39"/>
      <c r="J170" s="39"/>
      <c r="K170" s="41" t="s">
        <v>701</v>
      </c>
    </row>
    <row r="171" customFormat="false" ht="15" hidden="false" customHeight="false" outlineLevel="0" collapsed="false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</row>
    <row r="172" customFormat="false" ht="15" hidden="false" customHeight="false" outlineLevel="0" collapsed="false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</row>
    <row r="173" customFormat="false" ht="15" hidden="false" customHeight="false" outlineLevel="0" collapsed="false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</row>
    <row r="174" customFormat="false" ht="15" hidden="false" customHeight="false" outlineLevel="0" collapsed="false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</row>
    <row r="175" customFormat="false" ht="15" hidden="false" customHeight="false" outlineLevel="0" collapsed="false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</row>
    <row r="176" customFormat="false" ht="15" hidden="false" customHeight="false" outlineLevel="0" collapsed="false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</row>
    <row r="177" customFormat="false" ht="15" hidden="false" customHeight="false" outlineLevel="0" collapsed="false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</row>
    <row r="178" customFormat="false" ht="15" hidden="false" customHeight="false" outlineLevel="0" collapsed="false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</row>
    <row r="179" customFormat="false" ht="15" hidden="false" customHeight="false" outlineLevel="0" collapsed="false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</row>
    <row r="180" customFormat="false" ht="15" hidden="false" customHeight="false" outlineLevel="0" collapsed="false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</row>
    <row r="181" customFormat="false" ht="15" hidden="false" customHeight="false" outlineLevel="0" collapsed="false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</row>
    <row r="182" customFormat="false" ht="15" hidden="false" customHeight="false" outlineLevel="0" collapsed="false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</row>
    <row r="183" customFormat="false" ht="15" hidden="false" customHeight="false" outlineLevel="0" collapsed="false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</row>
    <row r="184" customFormat="false" ht="15" hidden="false" customHeight="false" outlineLevel="0" collapsed="false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</row>
    <row r="185" customFormat="false" ht="15" hidden="false" customHeight="false" outlineLevel="0" collapsed="false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</row>
    <row r="186" customFormat="false" ht="15" hidden="false" customHeight="false" outlineLevel="0" collapsed="false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</row>
    <row r="187" customFormat="false" ht="15" hidden="false" customHeight="false" outlineLevel="0" collapsed="false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</row>
    <row r="188" customFormat="false" ht="15" hidden="false" customHeight="false" outlineLevel="0" collapsed="false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</row>
    <row r="189" customFormat="false" ht="15" hidden="false" customHeight="false" outlineLevel="0" collapsed="false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</row>
    <row r="190" customFormat="false" ht="15" hidden="false" customHeight="false" outlineLevel="0" collapsed="false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</row>
    <row r="191" customFormat="false" ht="15" hidden="false" customHeight="false" outlineLevel="0" collapsed="false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</row>
    <row r="192" customFormat="false" ht="15" hidden="false" customHeight="false" outlineLevel="0" collapsed="false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</row>
    <row r="193" customFormat="false" ht="15" hidden="false" customHeight="false" outlineLevel="0" collapsed="false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</row>
    <row r="194" customFormat="false" ht="15" hidden="false" customHeight="false" outlineLevel="0" collapsed="false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</row>
    <row r="195" customFormat="false" ht="15" hidden="false" customHeight="false" outlineLevel="0" collapsed="false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</row>
    <row r="196" customFormat="false" ht="15" hidden="false" customHeight="false" outlineLevel="0" collapsed="false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</row>
    <row r="197" customFormat="false" ht="15" hidden="false" customHeight="false" outlineLevel="0" collapsed="false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</row>
    <row r="198" customFormat="false" ht="15" hidden="false" customHeight="false" outlineLevel="0" collapsed="false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</row>
    <row r="199" customFormat="false" ht="15" hidden="false" customHeight="false" outlineLevel="0" collapsed="false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</row>
    <row r="200" customFormat="false" ht="15" hidden="false" customHeight="false" outlineLevel="0" collapsed="false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</row>
    <row r="201" customFormat="false" ht="15" hidden="false" customHeight="false" outlineLevel="0" collapsed="false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</row>
    <row r="202" customFormat="false" ht="15" hidden="false" customHeight="false" outlineLevel="0" collapsed="false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</row>
    <row r="203" customFormat="false" ht="15" hidden="false" customHeight="false" outlineLevel="0" collapsed="false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</row>
    <row r="204" customFormat="false" ht="15" hidden="false" customHeight="false" outlineLevel="0" collapsed="false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</row>
    <row r="205" customFormat="false" ht="15" hidden="false" customHeight="false" outlineLevel="0" collapsed="false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</row>
    <row r="206" customFormat="false" ht="15" hidden="false" customHeight="false" outlineLevel="0" collapsed="false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</row>
    <row r="207" customFormat="false" ht="15" hidden="false" customHeight="false" outlineLevel="0" collapsed="false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</row>
    <row r="208" customFormat="false" ht="15" hidden="false" customHeight="false" outlineLevel="0" collapsed="false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</row>
    <row r="209" customFormat="false" ht="15" hidden="false" customHeight="false" outlineLevel="0" collapsed="false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</row>
    <row r="210" customFormat="false" ht="15" hidden="false" customHeight="false" outlineLevel="0" collapsed="false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</row>
    <row r="211" customFormat="false" ht="15" hidden="false" customHeight="false" outlineLevel="0" collapsed="false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</row>
    <row r="212" customFormat="false" ht="15" hidden="false" customHeight="false" outlineLevel="0" collapsed="false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</row>
    <row r="213" customFormat="false" ht="15" hidden="false" customHeight="false" outlineLevel="0" collapsed="false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</row>
    <row r="214" customFormat="false" ht="15" hidden="false" customHeight="false" outlineLevel="0" collapsed="false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</row>
    <row r="215" customFormat="false" ht="15" hidden="false" customHeight="false" outlineLevel="0" collapsed="false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</row>
    <row r="216" customFormat="false" ht="15" hidden="false" customHeight="false" outlineLevel="0" collapsed="false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</row>
    <row r="217" customFormat="false" ht="15" hidden="false" customHeight="false" outlineLevel="0" collapsed="false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</row>
    <row r="218" customFormat="false" ht="15" hidden="false" customHeight="false" outlineLevel="0" collapsed="false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</row>
    <row r="219" customFormat="false" ht="15" hidden="false" customHeight="false" outlineLevel="0" collapsed="false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</row>
    <row r="220" customFormat="false" ht="15" hidden="false" customHeight="false" outlineLevel="0" collapsed="false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</row>
    <row r="221" customFormat="false" ht="15" hidden="false" customHeight="false" outlineLevel="0" collapsed="false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</row>
    <row r="222" customFormat="false" ht="15" hidden="false" customHeight="false" outlineLevel="0" collapsed="false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</row>
    <row r="223" customFormat="false" ht="15" hidden="false" customHeight="false" outlineLevel="0" collapsed="false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</row>
    <row r="224" customFormat="false" ht="15" hidden="false" customHeight="false" outlineLevel="0" collapsed="false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</row>
    <row r="225" customFormat="false" ht="15" hidden="false" customHeight="false" outlineLevel="0" collapsed="false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</row>
    <row r="226" customFormat="false" ht="15" hidden="false" customHeight="false" outlineLevel="0" collapsed="false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</row>
    <row r="227" customFormat="false" ht="15" hidden="false" customHeight="false" outlineLevel="0" collapsed="false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</row>
    <row r="228" customFormat="false" ht="15" hidden="false" customHeight="false" outlineLevel="0" collapsed="false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</row>
    <row r="229" customFormat="false" ht="15" hidden="false" customHeight="false" outlineLevel="0" collapsed="false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</row>
    <row r="230" customFormat="false" ht="15" hidden="false" customHeight="false" outlineLevel="0" collapsed="false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</row>
    <row r="231" customFormat="false" ht="15" hidden="false" customHeight="false" outlineLevel="0" collapsed="false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</row>
    <row r="232" customFormat="false" ht="15" hidden="false" customHeight="false" outlineLevel="0" collapsed="false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</row>
    <row r="233" customFormat="false" ht="15" hidden="false" customHeight="false" outlineLevel="0" collapsed="false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</row>
    <row r="234" customFormat="false" ht="15" hidden="false" customHeight="false" outlineLevel="0" collapsed="false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</row>
    <row r="235" customFormat="false" ht="15" hidden="false" customHeight="false" outlineLevel="0" collapsed="false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</row>
    <row r="236" customFormat="false" ht="15" hidden="false" customHeight="false" outlineLevel="0" collapsed="false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</row>
    <row r="237" customFormat="false" ht="15" hidden="false" customHeight="false" outlineLevel="0" collapsed="false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</row>
    <row r="238" customFormat="false" ht="15" hidden="false" customHeight="false" outlineLevel="0" collapsed="false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</row>
    <row r="239" customFormat="false" ht="15" hidden="false" customHeight="false" outlineLevel="0" collapsed="false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</row>
    <row r="240" customFormat="false" ht="15" hidden="false" customHeight="false" outlineLevel="0" collapsed="false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</row>
    <row r="241" customFormat="false" ht="15" hidden="false" customHeight="false" outlineLevel="0" collapsed="false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</row>
    <row r="242" customFormat="false" ht="15" hidden="false" customHeight="false" outlineLevel="0" collapsed="false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</row>
    <row r="243" customFormat="false" ht="15" hidden="false" customHeight="false" outlineLevel="0" collapsed="false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</row>
    <row r="244" customFormat="false" ht="15" hidden="false" customHeight="false" outlineLevel="0" collapsed="false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</row>
    <row r="245" customFormat="false" ht="15" hidden="false" customHeight="false" outlineLevel="0" collapsed="false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</row>
    <row r="246" customFormat="false" ht="15" hidden="false" customHeight="false" outlineLevel="0" collapsed="false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</row>
    <row r="247" customFormat="false" ht="15" hidden="false" customHeight="false" outlineLevel="0" collapsed="false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</row>
    <row r="248" customFormat="false" ht="15" hidden="false" customHeight="false" outlineLevel="0" collapsed="false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</row>
    <row r="249" customFormat="false" ht="15" hidden="false" customHeight="false" outlineLevel="0" collapsed="false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</row>
  </sheetData>
  <autoFilter ref="A1:K170"/>
  <conditionalFormatting sqref="G2:G170">
    <cfRule type="expression" priority="2" aboveAverage="0" equalAverage="0" bottom="0" percent="0" rank="0" text="" dxfId="8">
      <formula>AND(ISNUMBER($E2),ISNUMBER($G2),$E2&lt;&gt;$G2)</formula>
    </cfRule>
  </conditionalFormatting>
  <dataValidations count="1">
    <dataValidation allowBlank="true" errorStyle="stop" operator="between" showDropDown="false" showErrorMessage="false" showInputMessage="false" sqref="H2:H170" type="list">
      <formula1>"확정,조정 중,Beta 신규,삭제"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7" min="6" style="1" width="36"/>
  </cols>
  <sheetData>
    <row r="1" customFormat="false" ht="30" hidden="false" customHeight="true" outlineLevel="0" collapsed="false">
      <c r="A1" s="44" t="s">
        <v>702</v>
      </c>
      <c r="B1" s="44" t="s">
        <v>703</v>
      </c>
      <c r="C1" s="44" t="s">
        <v>704</v>
      </c>
      <c r="D1" s="44" t="s">
        <v>705</v>
      </c>
      <c r="E1" s="44" t="s">
        <v>706</v>
      </c>
      <c r="F1" s="44" t="s">
        <v>707</v>
      </c>
      <c r="G1" s="44" t="s">
        <v>708</v>
      </c>
    </row>
    <row r="2" customFormat="false" ht="29.25" hidden="false" customHeight="true" outlineLevel="0" collapsed="false">
      <c r="A2" s="16" t="s">
        <v>709</v>
      </c>
      <c r="B2" s="17" t="s">
        <v>710</v>
      </c>
      <c r="C2" s="20" t="n">
        <v>3</v>
      </c>
      <c r="D2" s="45" t="n">
        <f aca="false">INDEX(조정값!$G$2:$G$170,MATCH("JLY_SIZE_BASE",조정값!$A$2:$A$170,0))+INDEX(조정값!$G$2:$G$170,MATCH("JLY_SIZE_PER_CM",조정값!$A$2:$A$170,0))*C2</f>
        <v>0.435</v>
      </c>
      <c r="E2" s="45" t="n">
        <f aca="false">D2/2</f>
        <v>0.2175</v>
      </c>
      <c r="F2" s="18" t="s">
        <v>711</v>
      </c>
      <c r="G2" s="18" t="s">
        <v>712</v>
      </c>
    </row>
    <row r="3" customFormat="false" ht="15" hidden="false" customHeight="true" outlineLevel="0" collapsed="false">
      <c r="A3" s="16" t="s">
        <v>713</v>
      </c>
      <c r="B3" s="17" t="s">
        <v>714</v>
      </c>
      <c r="C3" s="20" t="n">
        <v>4</v>
      </c>
      <c r="D3" s="45" t="n">
        <f aca="false">INDEX(조정값!$G$2:$G$170,MATCH("JLY_SIZE_BASE",조정값!$A$2:$A$170,0))+INDEX(조정값!$G$2:$G$170,MATCH("JLY_SIZE_PER_CM",조정값!$A$2:$A$170,0))*C3</f>
        <v>0.46</v>
      </c>
      <c r="E3" s="45" t="n">
        <f aca="false">D3/2</f>
        <v>0.23</v>
      </c>
      <c r="F3" s="18" t="s">
        <v>715</v>
      </c>
      <c r="G3" s="21"/>
    </row>
    <row r="4" customFormat="false" ht="15" hidden="false" customHeight="true" outlineLevel="0" collapsed="false">
      <c r="A4" s="16" t="s">
        <v>716</v>
      </c>
      <c r="B4" s="17" t="s">
        <v>717</v>
      </c>
      <c r="C4" s="20" t="n">
        <v>5</v>
      </c>
      <c r="D4" s="45" t="n">
        <f aca="false">INDEX(조정값!$G$2:$G$170,MATCH("JLY_SIZE_BASE",조정값!$A$2:$A$170,0))+INDEX(조정값!$G$2:$G$170,MATCH("JLY_SIZE_PER_CM",조정값!$A$2:$A$170,0))*C4</f>
        <v>0.485</v>
      </c>
      <c r="E4" s="45" t="n">
        <f aca="false">D4/2</f>
        <v>0.2425</v>
      </c>
      <c r="F4" s="18" t="s">
        <v>718</v>
      </c>
      <c r="G4" s="18" t="s">
        <v>719</v>
      </c>
    </row>
    <row r="5" customFormat="false" ht="15" hidden="false" customHeight="true" outlineLevel="0" collapsed="false">
      <c r="A5" s="16" t="s">
        <v>720</v>
      </c>
      <c r="B5" s="17" t="s">
        <v>721</v>
      </c>
      <c r="C5" s="20" t="n">
        <v>6</v>
      </c>
      <c r="D5" s="45" t="n">
        <f aca="false">INDEX(조정값!$G$2:$G$170,MATCH("JLY_SIZE_BASE",조정값!$A$2:$A$170,0))+INDEX(조정값!$G$2:$G$170,MATCH("JLY_SIZE_PER_CM",조정값!$A$2:$A$170,0))*C5</f>
        <v>0.51</v>
      </c>
      <c r="E5" s="45" t="n">
        <f aca="false">D5/2</f>
        <v>0.255</v>
      </c>
      <c r="F5" s="18" t="s">
        <v>722</v>
      </c>
      <c r="G5" s="18" t="s">
        <v>723</v>
      </c>
    </row>
    <row r="6" customFormat="false" ht="15" hidden="false" customHeight="true" outlineLevel="0" collapsed="false">
      <c r="A6" s="16" t="s">
        <v>724</v>
      </c>
      <c r="B6" s="17" t="s">
        <v>725</v>
      </c>
      <c r="C6" s="20" t="n">
        <v>8</v>
      </c>
      <c r="D6" s="45" t="n">
        <f aca="false">INDEX(조정값!$G$2:$G$170,MATCH("JLY_SIZE_BASE",조정값!$A$2:$A$170,0))+INDEX(조정값!$G$2:$G$170,MATCH("JLY_SIZE_PER_CM",조정값!$A$2:$A$170,0))*C6</f>
        <v>0.56</v>
      </c>
      <c r="E6" s="45" t="n">
        <f aca="false">D6/2</f>
        <v>0.28</v>
      </c>
      <c r="F6" s="18" t="s">
        <v>726</v>
      </c>
      <c r="G6" s="18" t="s">
        <v>727</v>
      </c>
    </row>
    <row r="7" customFormat="false" ht="15" hidden="false" customHeight="false" outlineLevel="0" collapsed="false">
      <c r="A7" s="43"/>
      <c r="B7" s="43"/>
      <c r="C7" s="43"/>
      <c r="D7" s="43"/>
      <c r="E7" s="43"/>
      <c r="F7" s="43"/>
      <c r="G7" s="43"/>
    </row>
    <row r="8" customFormat="false" ht="15" hidden="false" customHeight="true" outlineLevel="0" collapsed="false">
      <c r="A8" s="46" t="s">
        <v>728</v>
      </c>
      <c r="B8" s="43"/>
      <c r="C8" s="43"/>
      <c r="D8" s="43"/>
      <c r="E8" s="43"/>
      <c r="F8" s="43"/>
      <c r="G8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3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24"/>
    <col collapsed="false" customWidth="true" hidden="false" outlineLevel="0" max="12" min="9" style="1" width="10"/>
    <col collapsed="false" customWidth="true" hidden="false" outlineLevel="0" max="13" min="13" style="1" width="12"/>
    <col collapsed="false" customWidth="true" hidden="false" outlineLevel="0" max="14" min="14" style="1" width="16"/>
  </cols>
  <sheetData>
    <row r="1" customFormat="false" ht="30" hidden="false" customHeight="true" outlineLevel="0" collapsed="false">
      <c r="A1" s="13" t="s">
        <v>12</v>
      </c>
      <c r="B1" s="13" t="s">
        <v>703</v>
      </c>
      <c r="C1" s="13" t="s">
        <v>729</v>
      </c>
      <c r="D1" s="13" t="s">
        <v>730</v>
      </c>
      <c r="E1" s="13" t="s">
        <v>731</v>
      </c>
      <c r="F1" s="13" t="s">
        <v>732</v>
      </c>
      <c r="G1" s="13" t="s">
        <v>733</v>
      </c>
      <c r="H1" s="13" t="s">
        <v>734</v>
      </c>
      <c r="I1" s="13" t="s">
        <v>735</v>
      </c>
      <c r="J1" s="13" t="s">
        <v>736</v>
      </c>
      <c r="K1" s="13" t="s">
        <v>737</v>
      </c>
      <c r="L1" s="13" t="s">
        <v>738</v>
      </c>
      <c r="M1" s="13" t="s">
        <v>739</v>
      </c>
      <c r="N1" s="13" t="s">
        <v>740</v>
      </c>
    </row>
    <row r="2" customFormat="false" ht="15" hidden="false" customHeight="true" outlineLevel="0" collapsed="false">
      <c r="A2" s="21" t="s">
        <v>741</v>
      </c>
      <c r="B2" s="18" t="s">
        <v>742</v>
      </c>
      <c r="C2" s="23" t="s">
        <v>743</v>
      </c>
      <c r="D2" s="22" t="s">
        <v>633</v>
      </c>
      <c r="E2" s="22" t="s">
        <v>633</v>
      </c>
      <c r="F2" s="21" t="s">
        <v>744</v>
      </c>
      <c r="G2" s="21" t="s">
        <v>744</v>
      </c>
      <c r="H2" s="23" t="s">
        <v>745</v>
      </c>
      <c r="I2" s="47"/>
      <c r="J2" s="48" t="n">
        <f aca="false">음식배치!I6</f>
        <v>16</v>
      </c>
      <c r="K2" s="21" t="s">
        <v>633</v>
      </c>
      <c r="L2" s="21" t="s">
        <v>746</v>
      </c>
      <c r="M2" s="21" t="s">
        <v>747</v>
      </c>
      <c r="N2" s="21" t="s">
        <v>748</v>
      </c>
    </row>
    <row r="3" customFormat="false" ht="15" hidden="false" customHeight="true" outlineLevel="0" collapsed="false">
      <c r="A3" s="21" t="s">
        <v>749</v>
      </c>
      <c r="B3" s="18" t="s">
        <v>750</v>
      </c>
      <c r="C3" s="23" t="s">
        <v>751</v>
      </c>
      <c r="D3" s="23" t="s">
        <v>752</v>
      </c>
      <c r="E3" s="22" t="s">
        <v>633</v>
      </c>
      <c r="F3" s="21" t="s">
        <v>753</v>
      </c>
      <c r="G3" s="21" t="s">
        <v>754</v>
      </c>
      <c r="H3" s="23" t="s">
        <v>755</v>
      </c>
      <c r="I3" s="47"/>
      <c r="J3" s="48" t="n">
        <f aca="false">음식배치!I7</f>
        <v>16</v>
      </c>
      <c r="K3" s="48" t="n">
        <f aca="false">음식배치!L7</f>
        <v>10</v>
      </c>
      <c r="L3" s="48" t="n">
        <f aca="false">음식배치!M7</f>
        <v>26</v>
      </c>
      <c r="M3" s="21" t="s">
        <v>756</v>
      </c>
      <c r="N3" s="21" t="s">
        <v>757</v>
      </c>
    </row>
    <row r="4" customFormat="false" ht="29.25" hidden="false" customHeight="true" outlineLevel="0" collapsed="false">
      <c r="A4" s="21" t="s">
        <v>758</v>
      </c>
      <c r="B4" s="18" t="s">
        <v>759</v>
      </c>
      <c r="C4" s="23" t="s">
        <v>760</v>
      </c>
      <c r="D4" s="23" t="s">
        <v>761</v>
      </c>
      <c r="E4" s="22" t="s">
        <v>633</v>
      </c>
      <c r="F4" s="21" t="s">
        <v>762</v>
      </c>
      <c r="G4" s="21" t="s">
        <v>763</v>
      </c>
      <c r="H4" s="23" t="s">
        <v>764</v>
      </c>
      <c r="I4" s="47"/>
      <c r="J4" s="48" t="n">
        <f aca="false">음식배치!I8</f>
        <v>20</v>
      </c>
      <c r="K4" s="48" t="n">
        <f aca="false">음식배치!L8</f>
        <v>26</v>
      </c>
      <c r="L4" s="48" t="n">
        <f aca="false">음식배치!M8</f>
        <v>46</v>
      </c>
      <c r="M4" s="21" t="s">
        <v>765</v>
      </c>
      <c r="N4" s="21" t="s">
        <v>766</v>
      </c>
    </row>
    <row r="5" customFormat="false" ht="15" hidden="false" customHeight="true" outlineLevel="0" collapsed="false">
      <c r="A5" s="21" t="s">
        <v>767</v>
      </c>
      <c r="B5" s="18" t="s">
        <v>768</v>
      </c>
      <c r="C5" s="23" t="s">
        <v>769</v>
      </c>
      <c r="D5" s="23" t="s">
        <v>770</v>
      </c>
      <c r="E5" s="23" t="s">
        <v>771</v>
      </c>
      <c r="F5" s="21" t="s">
        <v>772</v>
      </c>
      <c r="G5" s="21" t="s">
        <v>773</v>
      </c>
      <c r="H5" s="23" t="s">
        <v>774</v>
      </c>
      <c r="I5" s="47"/>
      <c r="J5" s="48" t="n">
        <f aca="false">음식배치!I9</f>
        <v>20</v>
      </c>
      <c r="K5" s="48" t="n">
        <f aca="false">음식배치!L9</f>
        <v>46</v>
      </c>
      <c r="L5" s="48" t="n">
        <f aca="false">음식배치!M9</f>
        <v>66</v>
      </c>
      <c r="M5" s="21" t="s">
        <v>765</v>
      </c>
      <c r="N5" s="21" t="s">
        <v>775</v>
      </c>
    </row>
    <row r="6" customFormat="false" ht="29.25" hidden="false" customHeight="true" outlineLevel="0" collapsed="false">
      <c r="A6" s="21" t="s">
        <v>776</v>
      </c>
      <c r="B6" s="18" t="s">
        <v>777</v>
      </c>
      <c r="C6" s="23" t="s">
        <v>778</v>
      </c>
      <c r="D6" s="23" t="s">
        <v>779</v>
      </c>
      <c r="E6" s="23" t="s">
        <v>780</v>
      </c>
      <c r="F6" s="21" t="s">
        <v>781</v>
      </c>
      <c r="G6" s="21" t="s">
        <v>782</v>
      </c>
      <c r="H6" s="23" t="s">
        <v>783</v>
      </c>
      <c r="I6" s="47"/>
      <c r="J6" s="48" t="n">
        <f aca="false">음식배치!I10</f>
        <v>19</v>
      </c>
      <c r="K6" s="48" t="n">
        <f aca="false">음식배치!L10</f>
        <v>66</v>
      </c>
      <c r="L6" s="48" t="n">
        <f aca="false">음식배치!M10</f>
        <v>85</v>
      </c>
      <c r="M6" s="21" t="s">
        <v>784</v>
      </c>
      <c r="N6" s="21" t="s">
        <v>785</v>
      </c>
    </row>
    <row r="7" customFormat="false" ht="15" hidden="false" customHeight="true" outlineLevel="0" collapsed="false">
      <c r="A7" s="21" t="s">
        <v>786</v>
      </c>
      <c r="B7" s="18" t="s">
        <v>787</v>
      </c>
      <c r="C7" s="23" t="s">
        <v>788</v>
      </c>
      <c r="D7" s="23" t="s">
        <v>520</v>
      </c>
      <c r="E7" s="23" t="s">
        <v>789</v>
      </c>
      <c r="F7" s="21" t="s">
        <v>790</v>
      </c>
      <c r="G7" s="21" t="s">
        <v>791</v>
      </c>
      <c r="H7" s="23" t="s">
        <v>783</v>
      </c>
      <c r="I7" s="47"/>
      <c r="J7" s="48" t="n">
        <f aca="false">음식배치!I11</f>
        <v>15</v>
      </c>
      <c r="K7" s="48" t="n">
        <f aca="false">음식배치!L11</f>
        <v>85</v>
      </c>
      <c r="L7" s="48" t="n">
        <f aca="false">음식배치!M11</f>
        <v>100</v>
      </c>
      <c r="M7" s="21" t="s">
        <v>784</v>
      </c>
      <c r="N7" s="21" t="s">
        <v>792</v>
      </c>
    </row>
    <row r="8" customFormat="false" ht="15" hidden="false" customHeight="true" outlineLevel="0" collapsed="false">
      <c r="A8" s="31" t="s">
        <v>793</v>
      </c>
      <c r="B8" s="17" t="s">
        <v>794</v>
      </c>
      <c r="C8" s="36" t="s">
        <v>795</v>
      </c>
      <c r="D8" s="35" t="s">
        <v>633</v>
      </c>
      <c r="E8" s="35" t="s">
        <v>796</v>
      </c>
      <c r="F8" s="31" t="s">
        <v>797</v>
      </c>
      <c r="G8" s="31" t="s">
        <v>744</v>
      </c>
      <c r="H8" s="35" t="s">
        <v>633</v>
      </c>
      <c r="I8" s="20"/>
      <c r="J8" s="17" t="s">
        <v>798</v>
      </c>
      <c r="K8" s="49" t="n">
        <f aca="false">L7</f>
        <v>100</v>
      </c>
      <c r="L8" s="49" t="n">
        <f aca="false">IF(ISNUMBER(K8),K8+1,"101")</f>
        <v>101</v>
      </c>
      <c r="M8" s="31" t="s">
        <v>799</v>
      </c>
      <c r="N8" s="31" t="s">
        <v>800</v>
      </c>
    </row>
    <row r="9" customFormat="false" ht="15" hidden="false" customHeight="true" outlineLevel="0" collapsed="false">
      <c r="A9" s="50"/>
      <c r="B9" s="24" t="s">
        <v>801</v>
      </c>
      <c r="C9" s="50"/>
      <c r="D9" s="50"/>
      <c r="E9" s="50"/>
      <c r="F9" s="50"/>
      <c r="G9" s="50"/>
      <c r="H9" s="50"/>
      <c r="I9" s="25" t="n">
        <f aca="false">SUM(I2:I8)</f>
        <v>0</v>
      </c>
      <c r="J9" s="50" t="n">
        <f aca="false">SUM(J3:J7)</f>
        <v>90</v>
      </c>
      <c r="K9" s="50"/>
      <c r="L9" s="50"/>
      <c r="M9" s="50"/>
      <c r="N9" s="50"/>
    </row>
    <row r="10" customFormat="false" ht="15" hidden="false" customHeight="false" outlineLevel="0" collapsed="false">
      <c r="A10" s="31"/>
      <c r="B10" s="51" t="s">
        <v>802</v>
      </c>
      <c r="C10" s="31"/>
      <c r="D10" s="31"/>
      <c r="E10" s="31"/>
      <c r="F10" s="31"/>
      <c r="G10" s="31"/>
      <c r="H10" s="31"/>
      <c r="I10" s="31" t="str">
        <f aca="false">IF(COUNT(I3:I7)&lt;5,"재측정 필요",IF(ISNUMBER(INDEX(조정값!$G$2:$G$170,MATCH("GAM_PLAYTIME",조정값!$A$2:$A$170,0))),IF(I9=INDEX(조정값!$G$2:$G$170,MATCH("GAM_PLAYTIME",조정값!$A$2:$A$170,0)),"OK","합계 "&amp;I9&amp;"분"),"합계 "&amp;I9&amp;"분"))</f>
        <v>재측정 필요</v>
      </c>
      <c r="J10" s="31"/>
      <c r="K10" s="31"/>
      <c r="L10" s="31"/>
      <c r="M10" s="31"/>
      <c r="N10" s="31"/>
    </row>
    <row r="11" customFormat="false" ht="15" hidden="false" customHeight="true" outlineLevel="0" collapsed="false">
      <c r="A11" s="5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customFormat="false" ht="15" hidden="false" customHeight="false" outlineLevel="0" collapsed="false">
      <c r="A12" s="32" t="s">
        <v>803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customFormat="false" ht="15" hidden="false" customHeight="false" outlineLevel="0" collapsed="false">
      <c r="A13" s="32" t="s">
        <v>804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7" min="3" style="1" width="8"/>
    <col collapsed="false" customWidth="true" hidden="false" outlineLevel="0" max="8" min="8" style="1" width="9"/>
    <col collapsed="false" customWidth="true" hidden="false" outlineLevel="0" max="10" min="9" style="1" width="11"/>
    <col collapsed="false" customWidth="true" hidden="false" outlineLevel="0" max="11" min="11" style="1" width="10"/>
    <col collapsed="false" customWidth="true" hidden="false" outlineLevel="0" max="13" min="12" style="1" width="8"/>
    <col collapsed="false" customWidth="true" hidden="false" outlineLevel="0" max="14" min="14" style="1" width="16"/>
  </cols>
  <sheetData>
    <row r="1" customFormat="false" ht="18.75" hidden="false" customHeight="true" outlineLevel="0" collapsed="false">
      <c r="A1" s="53" t="s">
        <v>805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customFormat="false" ht="15" hidden="false" customHeight="true" outlineLevel="0" collapsed="false">
      <c r="A2" s="46" t="s">
        <v>806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customFormat="false" ht="1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customFormat="false" ht="30" hidden="false" customHeight="true" outlineLevel="0" collapsed="false">
      <c r="A4" s="44" t="s">
        <v>12</v>
      </c>
      <c r="B4" s="44" t="s">
        <v>703</v>
      </c>
      <c r="C4" s="54" t="s">
        <v>807</v>
      </c>
      <c r="D4" s="54" t="s">
        <v>808</v>
      </c>
      <c r="E4" s="54" t="s">
        <v>809</v>
      </c>
      <c r="F4" s="54" t="s">
        <v>810</v>
      </c>
      <c r="G4" s="54" t="s">
        <v>811</v>
      </c>
      <c r="H4" s="44" t="s">
        <v>812</v>
      </c>
      <c r="I4" s="44" t="s">
        <v>813</v>
      </c>
      <c r="J4" s="44" t="s">
        <v>814</v>
      </c>
      <c r="K4" s="44" t="s">
        <v>815</v>
      </c>
      <c r="L4" s="44" t="s">
        <v>737</v>
      </c>
      <c r="M4" s="44" t="s">
        <v>738</v>
      </c>
      <c r="N4" s="44" t="s">
        <v>816</v>
      </c>
    </row>
    <row r="5" customFormat="false" ht="15" hidden="false" customHeight="true" outlineLevel="0" collapsed="false">
      <c r="A5" s="43"/>
      <c r="B5" s="55" t="s">
        <v>817</v>
      </c>
      <c r="C5" s="56" t="n">
        <f aca="false">음식종류!C2</f>
        <v>3</v>
      </c>
      <c r="D5" s="56" t="n">
        <f aca="false">음식종류!C3</f>
        <v>4</v>
      </c>
      <c r="E5" s="56" t="n">
        <f aca="false">음식종류!C4</f>
        <v>5</v>
      </c>
      <c r="F5" s="56" t="n">
        <f aca="false">음식종류!C5</f>
        <v>6</v>
      </c>
      <c r="G5" s="56" t="n">
        <f aca="false">음식종류!C6</f>
        <v>8</v>
      </c>
      <c r="H5" s="43"/>
      <c r="I5" s="43"/>
      <c r="J5" s="43"/>
      <c r="K5" s="43"/>
      <c r="L5" s="43"/>
      <c r="M5" s="43"/>
      <c r="N5" s="43"/>
    </row>
    <row r="6" customFormat="false" ht="15" hidden="false" customHeight="true" outlineLevel="0" collapsed="false">
      <c r="A6" s="57" t="s">
        <v>741</v>
      </c>
      <c r="B6" s="17" t="s">
        <v>742</v>
      </c>
      <c r="C6" s="58" t="n">
        <v>2</v>
      </c>
      <c r="D6" s="58" t="n">
        <v>1</v>
      </c>
      <c r="E6" s="58" t="n">
        <v>0</v>
      </c>
      <c r="F6" s="58" t="n">
        <v>1</v>
      </c>
      <c r="G6" s="58" t="n">
        <v>0</v>
      </c>
      <c r="H6" s="59" t="n">
        <f aca="false">SUM(C6:G6)</f>
        <v>4</v>
      </c>
      <c r="I6" s="60" t="n">
        <f aca="false">SUMPRODUCT(C6:G6,$C$5:$G$5)</f>
        <v>16</v>
      </c>
      <c r="J6" s="58" t="n">
        <v>16</v>
      </c>
      <c r="K6" s="59" t="n">
        <f aca="false">I6-J6</f>
        <v>0</v>
      </c>
      <c r="L6" s="59" t="s">
        <v>633</v>
      </c>
      <c r="M6" s="59" t="s">
        <v>818</v>
      </c>
      <c r="N6" s="61" t="str">
        <f aca="false">IF(SUMIF($B$28:$B$54,A6,$D$28:$D$54)=I6,"OK","목록 불일치")</f>
        <v>OK</v>
      </c>
    </row>
    <row r="7" customFormat="false" ht="15" hidden="false" customHeight="true" outlineLevel="0" collapsed="false">
      <c r="A7" s="57" t="s">
        <v>749</v>
      </c>
      <c r="B7" s="17" t="s">
        <v>750</v>
      </c>
      <c r="C7" s="58" t="n">
        <v>4</v>
      </c>
      <c r="D7" s="58" t="n">
        <v>1</v>
      </c>
      <c r="E7" s="58" t="n">
        <v>0</v>
      </c>
      <c r="F7" s="58" t="n">
        <v>0</v>
      </c>
      <c r="G7" s="58" t="n">
        <v>0</v>
      </c>
      <c r="H7" s="59" t="n">
        <f aca="false">SUM(C7:G7)</f>
        <v>5</v>
      </c>
      <c r="I7" s="60" t="n">
        <f aca="false">SUMPRODUCT(C7:G7,$C$5:$G$5)</f>
        <v>16</v>
      </c>
      <c r="J7" s="58" t="n">
        <v>16</v>
      </c>
      <c r="K7" s="59" t="n">
        <f aca="false">I7-J7</f>
        <v>0</v>
      </c>
      <c r="L7" s="59" t="n">
        <f aca="false">INDEX(조정값!$G$2:$G$170,MATCH("CHN_LEADER_LEN",조정값!$A$2:$A$170,0))</f>
        <v>10</v>
      </c>
      <c r="M7" s="59" t="n">
        <f aca="false">L7+I7</f>
        <v>26</v>
      </c>
      <c r="N7" s="61" t="str">
        <f aca="false">IF(SUMIF($B$28:$B$54,A7,$D$28:$D$54)=I7,"OK","목록 불일치")</f>
        <v>OK</v>
      </c>
    </row>
    <row r="8" customFormat="false" ht="15" hidden="false" customHeight="true" outlineLevel="0" collapsed="false">
      <c r="A8" s="57" t="s">
        <v>758</v>
      </c>
      <c r="B8" s="17" t="s">
        <v>759</v>
      </c>
      <c r="C8" s="58" t="n">
        <v>2</v>
      </c>
      <c r="D8" s="58" t="n">
        <v>2</v>
      </c>
      <c r="E8" s="58" t="n">
        <v>0</v>
      </c>
      <c r="F8" s="58" t="n">
        <v>1</v>
      </c>
      <c r="G8" s="58" t="n">
        <v>0</v>
      </c>
      <c r="H8" s="59" t="n">
        <f aca="false">SUM(C8:G8)</f>
        <v>5</v>
      </c>
      <c r="I8" s="60" t="n">
        <f aca="false">SUMPRODUCT(C8:G8,$C$5:$G$5)</f>
        <v>20</v>
      </c>
      <c r="J8" s="58" t="n">
        <v>20</v>
      </c>
      <c r="K8" s="59" t="n">
        <f aca="false">I8-J8</f>
        <v>0</v>
      </c>
      <c r="L8" s="59" t="n">
        <f aca="false">M7</f>
        <v>26</v>
      </c>
      <c r="M8" s="59" t="n">
        <f aca="false">L8+I8</f>
        <v>46</v>
      </c>
      <c r="N8" s="61" t="str">
        <f aca="false">IF(SUMIF($B$28:$B$54,A8,$D$28:$D$54)=I8,"OK","목록 불일치")</f>
        <v>OK</v>
      </c>
    </row>
    <row r="9" customFormat="false" ht="15" hidden="false" customHeight="true" outlineLevel="0" collapsed="false">
      <c r="A9" s="57" t="s">
        <v>767</v>
      </c>
      <c r="B9" s="17" t="s">
        <v>768</v>
      </c>
      <c r="C9" s="58" t="n">
        <v>2</v>
      </c>
      <c r="D9" s="58" t="n">
        <v>1</v>
      </c>
      <c r="E9" s="58" t="n">
        <v>2</v>
      </c>
      <c r="F9" s="58" t="n">
        <v>0</v>
      </c>
      <c r="G9" s="58" t="n">
        <v>0</v>
      </c>
      <c r="H9" s="59" t="n">
        <f aca="false">SUM(C9:G9)</f>
        <v>5</v>
      </c>
      <c r="I9" s="60" t="n">
        <f aca="false">SUMPRODUCT(C9:G9,$C$5:$G$5)</f>
        <v>20</v>
      </c>
      <c r="J9" s="58" t="n">
        <v>20</v>
      </c>
      <c r="K9" s="59" t="n">
        <f aca="false">I9-J9</f>
        <v>0</v>
      </c>
      <c r="L9" s="59" t="n">
        <f aca="false">M8</f>
        <v>46</v>
      </c>
      <c r="M9" s="59" t="n">
        <f aca="false">L9+I9</f>
        <v>66</v>
      </c>
      <c r="N9" s="61" t="str">
        <f aca="false">IF(SUMIF($B$28:$B$54,A9,$D$28:$D$54)=I9,"OK","목록 불일치")</f>
        <v>OK</v>
      </c>
    </row>
    <row r="10" customFormat="false" ht="15" hidden="false" customHeight="true" outlineLevel="0" collapsed="false">
      <c r="A10" s="57" t="s">
        <v>776</v>
      </c>
      <c r="B10" s="17" t="s">
        <v>777</v>
      </c>
      <c r="C10" s="58" t="n">
        <v>1</v>
      </c>
      <c r="D10" s="58" t="n">
        <v>2</v>
      </c>
      <c r="E10" s="58" t="n">
        <v>0</v>
      </c>
      <c r="F10" s="58" t="n">
        <v>0</v>
      </c>
      <c r="G10" s="58" t="n">
        <v>1</v>
      </c>
      <c r="H10" s="59" t="n">
        <f aca="false">SUM(C10:G10)</f>
        <v>4</v>
      </c>
      <c r="I10" s="60" t="n">
        <f aca="false">SUMPRODUCT(C10:G10,$C$5:$G$5)</f>
        <v>19</v>
      </c>
      <c r="J10" s="58" t="n">
        <v>19</v>
      </c>
      <c r="K10" s="59" t="n">
        <f aca="false">I10-J10</f>
        <v>0</v>
      </c>
      <c r="L10" s="59" t="n">
        <f aca="false">M9</f>
        <v>66</v>
      </c>
      <c r="M10" s="59" t="n">
        <f aca="false">L10+I10</f>
        <v>85</v>
      </c>
      <c r="N10" s="61" t="str">
        <f aca="false">IF(SUMIF($B$28:$B$54,A10,$D$28:$D$54)=I10,"OK","목록 불일치")</f>
        <v>OK</v>
      </c>
    </row>
    <row r="11" customFormat="false" ht="15" hidden="false" customHeight="true" outlineLevel="0" collapsed="false">
      <c r="A11" s="57" t="s">
        <v>786</v>
      </c>
      <c r="B11" s="17" t="s">
        <v>787</v>
      </c>
      <c r="C11" s="58" t="n">
        <v>2</v>
      </c>
      <c r="D11" s="58" t="n">
        <v>1</v>
      </c>
      <c r="E11" s="58" t="n">
        <v>1</v>
      </c>
      <c r="F11" s="58" t="n">
        <v>0</v>
      </c>
      <c r="G11" s="58" t="n">
        <v>0</v>
      </c>
      <c r="H11" s="59" t="n">
        <f aca="false">SUM(C11:G11)</f>
        <v>4</v>
      </c>
      <c r="I11" s="60" t="n">
        <f aca="false">SUMPRODUCT(C11:G11,$C$5:$G$5)</f>
        <v>15</v>
      </c>
      <c r="J11" s="58" t="n">
        <v>15</v>
      </c>
      <c r="K11" s="59" t="n">
        <f aca="false">I11-J11</f>
        <v>0</v>
      </c>
      <c r="L11" s="59" t="n">
        <f aca="false">M10</f>
        <v>85</v>
      </c>
      <c r="M11" s="59" t="n">
        <f aca="false">L11+I11</f>
        <v>100</v>
      </c>
      <c r="N11" s="61" t="str">
        <f aca="false">IF(SUMIF($B$28:$B$54,A11,$D$28:$D$54)=I11,"OK","목록 불일치")</f>
        <v>OK</v>
      </c>
    </row>
    <row r="12" customFormat="false" ht="15" hidden="false" customHeight="true" outlineLevel="0" collapsed="false">
      <c r="A12" s="62"/>
      <c r="B12" s="24" t="s">
        <v>819</v>
      </c>
      <c r="C12" s="63" t="n">
        <f aca="false">SUM(C7:C11)</f>
        <v>11</v>
      </c>
      <c r="D12" s="63" t="n">
        <f aca="false">SUM(D7:D11)</f>
        <v>7</v>
      </c>
      <c r="E12" s="63" t="n">
        <f aca="false">SUM(E7:E11)</f>
        <v>3</v>
      </c>
      <c r="F12" s="63" t="n">
        <f aca="false">SUM(F7:F11)</f>
        <v>1</v>
      </c>
      <c r="G12" s="63" t="n">
        <f aca="false">SUM(G7:G11)</f>
        <v>1</v>
      </c>
      <c r="H12" s="63" t="n">
        <f aca="false">SUM(H7:H11)</f>
        <v>23</v>
      </c>
      <c r="I12" s="63" t="n">
        <f aca="false">SUM(I7:I11)</f>
        <v>90</v>
      </c>
      <c r="J12" s="63" t="n">
        <f aca="false">SUM(J7:J11)</f>
        <v>90</v>
      </c>
      <c r="K12" s="63" t="n">
        <f aca="false">I12-J12</f>
        <v>0</v>
      </c>
      <c r="L12" s="62"/>
      <c r="M12" s="62"/>
      <c r="N12" s="62"/>
    </row>
    <row r="13" customFormat="false" ht="15" hidden="false" customHeight="false" outlineLevel="0" collapsed="false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</row>
    <row r="14" customFormat="false" ht="15" hidden="false" customHeight="true" outlineLevel="0" collapsed="false">
      <c r="A14" s="6" t="s">
        <v>820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customFormat="false" ht="15" hidden="false" customHeight="true" outlineLevel="0" collapsed="false">
      <c r="A15" s="64" t="s">
        <v>821</v>
      </c>
      <c r="B15" s="64"/>
      <c r="C15" s="64"/>
      <c r="D15" s="64"/>
      <c r="E15" s="57" t="str">
        <f aca="false">IF(I12=INDEX(조정값!$G$2:$G$170,MATCH("CHN_FOOD_TOTAL",조정값!$A$2:$A$170,0)),"OK","합계 오류: "&amp;I12&amp;"cm")</f>
        <v>OK</v>
      </c>
      <c r="F15" s="57"/>
      <c r="G15" s="57"/>
      <c r="H15" s="43"/>
      <c r="I15" s="43"/>
      <c r="J15" s="43"/>
      <c r="K15" s="43"/>
      <c r="L15" s="43"/>
      <c r="M15" s="43"/>
      <c r="N15" s="43"/>
    </row>
    <row r="16" customFormat="false" ht="15" hidden="false" customHeight="true" outlineLevel="0" collapsed="false">
      <c r="A16" s="64" t="s">
        <v>822</v>
      </c>
      <c r="B16" s="64"/>
      <c r="C16" s="64"/>
      <c r="D16" s="64"/>
      <c r="E16" s="57" t="str">
        <f aca="false">IF(AND(H12&gt;=18,H12&lt;=30),"OK","개수 범위 밖: "&amp;H12&amp;"개")</f>
        <v>OK</v>
      </c>
      <c r="F16" s="57"/>
      <c r="G16" s="57"/>
      <c r="H16" s="43"/>
      <c r="I16" s="43"/>
      <c r="J16" s="43"/>
      <c r="K16" s="43"/>
      <c r="L16" s="43"/>
      <c r="M16" s="43"/>
      <c r="N16" s="43"/>
    </row>
    <row r="17" customFormat="false" ht="15" hidden="false" customHeight="true" outlineLevel="0" collapsed="false">
      <c r="A17" s="64" t="s">
        <v>823</v>
      </c>
      <c r="B17" s="64"/>
      <c r="C17" s="64"/>
      <c r="D17" s="64"/>
      <c r="E17" s="57" t="str">
        <f aca="false">IF(M11=INDEX(조정값!$G$2:$G$170,MATCH("CHN_GOAL",조정값!$A$2:$A$170,0)),"OK","최종 길이 "&amp;M11&amp;"cm")</f>
        <v>OK</v>
      </c>
      <c r="F17" s="57"/>
      <c r="G17" s="57"/>
      <c r="H17" s="43"/>
      <c r="I17" s="43"/>
      <c r="J17" s="43"/>
      <c r="K17" s="43"/>
      <c r="L17" s="43"/>
      <c r="M17" s="43"/>
      <c r="N17" s="43"/>
    </row>
    <row r="18" customFormat="false" ht="15" hidden="false" customHeight="true" outlineLevel="0" collapsed="false">
      <c r="A18" s="64" t="s">
        <v>824</v>
      </c>
      <c r="B18" s="64"/>
      <c r="C18" s="64"/>
      <c r="D18" s="64"/>
      <c r="E18" s="57" t="str">
        <f aca="false">IF(H12&lt;=30,"OK","초과")</f>
        <v>OK</v>
      </c>
      <c r="F18" s="57"/>
      <c r="G18" s="57"/>
      <c r="H18" s="43"/>
      <c r="I18" s="43"/>
      <c r="J18" s="43"/>
      <c r="K18" s="43"/>
      <c r="L18" s="43"/>
      <c r="M18" s="43"/>
      <c r="N18" s="43"/>
    </row>
    <row r="19" customFormat="false" ht="15" hidden="false" customHeight="true" outlineLevel="0" collapsed="false">
      <c r="A19" s="64" t="s">
        <v>825</v>
      </c>
      <c r="B19" s="64"/>
      <c r="C19" s="64"/>
      <c r="D19" s="64"/>
      <c r="E19" s="57" t="str">
        <f aca="false">IF(AND(I12/H12&gt;=3,I12/H12&lt;=5),"OK","범위 밖")</f>
        <v>OK</v>
      </c>
      <c r="F19" s="57"/>
      <c r="G19" s="57"/>
      <c r="H19" s="43"/>
      <c r="I19" s="43"/>
      <c r="J19" s="43"/>
      <c r="K19" s="43"/>
      <c r="L19" s="43"/>
      <c r="M19" s="43"/>
      <c r="N19" s="43"/>
    </row>
    <row r="20" customFormat="false" ht="15" hidden="false" customHeight="true" outlineLevel="0" collapsed="false">
      <c r="A20" s="17" t="s">
        <v>826</v>
      </c>
      <c r="B20" s="17"/>
      <c r="C20" s="17"/>
      <c r="D20" s="17"/>
      <c r="E20" s="65" t="n">
        <f aca="false">I12/H12</f>
        <v>3.91304347826087</v>
      </c>
      <c r="F20" s="43"/>
      <c r="G20" s="43"/>
      <c r="H20" s="43"/>
      <c r="I20" s="43"/>
      <c r="J20" s="43"/>
      <c r="K20" s="43"/>
      <c r="L20" s="43"/>
      <c r="M20" s="43"/>
      <c r="N20" s="43"/>
    </row>
    <row r="21" customFormat="false" ht="17.15" hidden="false" customHeight="false" outlineLevel="0" collapsed="false">
      <c r="A21" s="66" t="s">
        <v>827</v>
      </c>
      <c r="B21" s="43"/>
      <c r="C21" s="43"/>
      <c r="D21" s="43"/>
      <c r="E21" s="43" t="n">
        <f aca="false">COUNTIFS($B$32:$B$54,"&lt;&gt;Z0",$K$32:$K$54,"&gt;0")</f>
        <v>9</v>
      </c>
      <c r="F21" s="43"/>
      <c r="G21" s="43"/>
      <c r="H21" s="66" t="s">
        <v>828</v>
      </c>
      <c r="I21" s="43"/>
      <c r="J21" s="43"/>
      <c r="K21" s="43"/>
      <c r="L21" s="43"/>
      <c r="M21" s="43"/>
      <c r="N21" s="43"/>
    </row>
    <row r="22" customFormat="false" ht="15" hidden="false" customHeight="false" outlineLevel="0" collapsed="false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</row>
    <row r="23" customFormat="false" ht="15" hidden="false" customHeight="fals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customFormat="false" ht="15" hidden="false" customHeight="fals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customFormat="false" ht="15" hidden="false" customHeight="fals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Format="false" ht="18.75" hidden="false" customHeight="true" outlineLevel="0" collapsed="false">
      <c r="A26" s="53" t="s">
        <v>829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Format="false" ht="30" hidden="false" customHeight="true" outlineLevel="0" collapsed="false">
      <c r="A27" s="44" t="s">
        <v>830</v>
      </c>
      <c r="B27" s="44" t="s">
        <v>12</v>
      </c>
      <c r="C27" s="44" t="s">
        <v>831</v>
      </c>
      <c r="D27" s="54" t="s">
        <v>181</v>
      </c>
      <c r="E27" s="44" t="s">
        <v>832</v>
      </c>
      <c r="F27" s="44"/>
      <c r="G27" s="44"/>
      <c r="H27" s="44" t="s">
        <v>833</v>
      </c>
      <c r="I27" s="44" t="s">
        <v>31</v>
      </c>
      <c r="J27" s="67" t="s">
        <v>834</v>
      </c>
      <c r="K27" s="68" t="s">
        <v>835</v>
      </c>
      <c r="L27" s="67" t="s">
        <v>836</v>
      </c>
      <c r="M27" s="43"/>
      <c r="N27" s="43"/>
    </row>
    <row r="28" customFormat="false" ht="15" hidden="false" customHeight="true" outlineLevel="0" collapsed="false">
      <c r="A28" s="16" t="s">
        <v>837</v>
      </c>
      <c r="B28" s="19" t="s">
        <v>741</v>
      </c>
      <c r="C28" s="20" t="s">
        <v>709</v>
      </c>
      <c r="D28" s="16" t="n">
        <f aca="false">INDEX(음식종류!$C$2:$C$6,MATCH(C28,음식종류!$A$2:$A$6,0))</f>
        <v>3</v>
      </c>
      <c r="E28" s="69" t="s">
        <v>838</v>
      </c>
      <c r="F28" s="69"/>
      <c r="G28" s="69"/>
      <c r="H28" s="19"/>
      <c r="I28" s="70" t="s">
        <v>839</v>
      </c>
      <c r="J28" s="33" t="n">
        <v>2.5</v>
      </c>
      <c r="K28" s="33" t="n">
        <v>0</v>
      </c>
      <c r="L28" s="33" t="n">
        <v>5</v>
      </c>
      <c r="M28" s="43"/>
      <c r="N28" s="43"/>
    </row>
    <row r="29" customFormat="false" ht="15" hidden="false" customHeight="true" outlineLevel="0" collapsed="false">
      <c r="A29" s="16" t="s">
        <v>840</v>
      </c>
      <c r="B29" s="19" t="s">
        <v>741</v>
      </c>
      <c r="C29" s="20" t="s">
        <v>709</v>
      </c>
      <c r="D29" s="16" t="n">
        <f aca="false">INDEX(음식종류!$C$2:$C$6,MATCH(C29,음식종류!$A$2:$A$6,0))</f>
        <v>3</v>
      </c>
      <c r="E29" s="69" t="s">
        <v>841</v>
      </c>
      <c r="F29" s="69"/>
      <c r="G29" s="69"/>
      <c r="H29" s="19"/>
      <c r="I29" s="70" t="s">
        <v>839</v>
      </c>
      <c r="J29" s="33" t="n">
        <v>5.5</v>
      </c>
      <c r="K29" s="33" t="n">
        <v>0</v>
      </c>
      <c r="L29" s="33" t="n">
        <v>2.6</v>
      </c>
      <c r="M29" s="43"/>
      <c r="N29" s="43"/>
    </row>
    <row r="30" customFormat="false" ht="15" hidden="false" customHeight="true" outlineLevel="0" collapsed="false">
      <c r="A30" s="16" t="s">
        <v>842</v>
      </c>
      <c r="B30" s="19" t="s">
        <v>741</v>
      </c>
      <c r="C30" s="20" t="s">
        <v>713</v>
      </c>
      <c r="D30" s="16" t="n">
        <f aca="false">INDEX(음식종류!$C$2:$C$6,MATCH(C30,음식종류!$A$2:$A$6,0))</f>
        <v>4</v>
      </c>
      <c r="E30" s="69" t="s">
        <v>843</v>
      </c>
      <c r="F30" s="69"/>
      <c r="G30" s="69"/>
      <c r="H30" s="19"/>
      <c r="I30" s="70" t="s">
        <v>839</v>
      </c>
      <c r="J30" s="33" t="n">
        <v>8.1</v>
      </c>
      <c r="K30" s="33" t="n">
        <v>1</v>
      </c>
      <c r="L30" s="33" t="n">
        <v>9.5</v>
      </c>
      <c r="M30" s="43"/>
      <c r="N30" s="43"/>
    </row>
    <row r="31" customFormat="false" ht="15" hidden="false" customHeight="true" outlineLevel="0" collapsed="false">
      <c r="A31" s="16" t="s">
        <v>844</v>
      </c>
      <c r="B31" s="19" t="s">
        <v>741</v>
      </c>
      <c r="C31" s="20" t="s">
        <v>720</v>
      </c>
      <c r="D31" s="16" t="n">
        <f aca="false">INDEX(음식종류!$C$2:$C$6,MATCH(C31,음식종류!$A$2:$A$6,0))</f>
        <v>6</v>
      </c>
      <c r="E31" s="69" t="s">
        <v>845</v>
      </c>
      <c r="F31" s="69"/>
      <c r="G31" s="69"/>
      <c r="H31" s="19"/>
      <c r="I31" s="70" t="s">
        <v>839</v>
      </c>
      <c r="J31" s="33" t="n">
        <v>1.5</v>
      </c>
      <c r="K31" s="33" t="n">
        <v>0</v>
      </c>
      <c r="L31" s="33" t="n">
        <v>9.7</v>
      </c>
      <c r="M31" s="43"/>
      <c r="N31" s="43"/>
    </row>
    <row r="32" customFormat="false" ht="15" hidden="false" customHeight="true" outlineLevel="0" collapsed="false">
      <c r="A32" s="16" t="s">
        <v>846</v>
      </c>
      <c r="B32" s="19" t="s">
        <v>749</v>
      </c>
      <c r="C32" s="20" t="s">
        <v>709</v>
      </c>
      <c r="D32" s="16" t="n">
        <f aca="false">INDEX(음식종류!$C$2:$C$6,MATCH(C32,음식종류!$A$2:$A$6,0))</f>
        <v>3</v>
      </c>
      <c r="E32" s="69" t="s">
        <v>847</v>
      </c>
      <c r="F32" s="69"/>
      <c r="G32" s="69"/>
      <c r="H32" s="19"/>
      <c r="I32" s="70" t="s">
        <v>839</v>
      </c>
      <c r="J32" s="33" t="n">
        <v>12.8</v>
      </c>
      <c r="K32" s="33" t="n">
        <v>0</v>
      </c>
      <c r="L32" s="33" t="n">
        <v>2.8</v>
      </c>
      <c r="M32" s="43"/>
      <c r="N32" s="43"/>
    </row>
    <row r="33" customFormat="false" ht="15" hidden="false" customHeight="true" outlineLevel="0" collapsed="false">
      <c r="A33" s="16" t="s">
        <v>848</v>
      </c>
      <c r="B33" s="19" t="s">
        <v>749</v>
      </c>
      <c r="C33" s="20" t="s">
        <v>709</v>
      </c>
      <c r="D33" s="16" t="n">
        <f aca="false">INDEX(음식종류!$C$2:$C$6,MATCH(C33,음식종류!$A$2:$A$6,0))</f>
        <v>3</v>
      </c>
      <c r="E33" s="69" t="s">
        <v>849</v>
      </c>
      <c r="F33" s="69"/>
      <c r="G33" s="69"/>
      <c r="H33" s="19"/>
      <c r="I33" s="70" t="s">
        <v>839</v>
      </c>
      <c r="J33" s="33" t="n">
        <v>16.2</v>
      </c>
      <c r="K33" s="33" t="n">
        <v>0.95</v>
      </c>
      <c r="L33" s="33" t="n">
        <v>9.5</v>
      </c>
      <c r="M33" s="43"/>
      <c r="N33" s="43"/>
    </row>
    <row r="34" customFormat="false" ht="15" hidden="false" customHeight="true" outlineLevel="0" collapsed="false">
      <c r="A34" s="16" t="s">
        <v>850</v>
      </c>
      <c r="B34" s="19" t="s">
        <v>749</v>
      </c>
      <c r="C34" s="20" t="s">
        <v>709</v>
      </c>
      <c r="D34" s="16" t="n">
        <f aca="false">INDEX(음식종류!$C$2:$C$6,MATCH(C34,음식종류!$A$2:$A$6,0))</f>
        <v>3</v>
      </c>
      <c r="E34" s="69" t="s">
        <v>851</v>
      </c>
      <c r="F34" s="69"/>
      <c r="G34" s="69"/>
      <c r="H34" s="19"/>
      <c r="I34" s="70" t="s">
        <v>839</v>
      </c>
      <c r="J34" s="33" t="n">
        <v>22</v>
      </c>
      <c r="K34" s="33" t="n">
        <v>0</v>
      </c>
      <c r="L34" s="33" t="n">
        <v>3.5</v>
      </c>
      <c r="M34" s="43"/>
      <c r="N34" s="43"/>
    </row>
    <row r="35" customFormat="false" ht="15" hidden="false" customHeight="true" outlineLevel="0" collapsed="false">
      <c r="A35" s="16" t="s">
        <v>852</v>
      </c>
      <c r="B35" s="19" t="s">
        <v>749</v>
      </c>
      <c r="C35" s="20" t="s">
        <v>709</v>
      </c>
      <c r="D35" s="16" t="n">
        <f aca="false">INDEX(음식종류!$C$2:$C$6,MATCH(C35,음식종류!$A$2:$A$6,0))</f>
        <v>3</v>
      </c>
      <c r="E35" s="69" t="s">
        <v>853</v>
      </c>
      <c r="F35" s="69"/>
      <c r="G35" s="69"/>
      <c r="H35" s="70" t="s">
        <v>854</v>
      </c>
      <c r="I35" s="70" t="s">
        <v>839</v>
      </c>
      <c r="J35" s="33" t="n">
        <v>24.5</v>
      </c>
      <c r="K35" s="33" t="n">
        <v>0</v>
      </c>
      <c r="L35" s="33" t="n">
        <v>10.4</v>
      </c>
      <c r="M35" s="43"/>
      <c r="N35" s="43"/>
    </row>
    <row r="36" customFormat="false" ht="15" hidden="false" customHeight="true" outlineLevel="0" collapsed="false">
      <c r="A36" s="16" t="s">
        <v>855</v>
      </c>
      <c r="B36" s="19" t="s">
        <v>749</v>
      </c>
      <c r="C36" s="20" t="s">
        <v>713</v>
      </c>
      <c r="D36" s="16" t="n">
        <f aca="false">INDEX(음식종류!$C$2:$C$6,MATCH(C36,음식종류!$A$2:$A$6,0))</f>
        <v>4</v>
      </c>
      <c r="E36" s="69" t="s">
        <v>856</v>
      </c>
      <c r="F36" s="69"/>
      <c r="G36" s="69"/>
      <c r="H36" s="19"/>
      <c r="I36" s="70" t="s">
        <v>839</v>
      </c>
      <c r="J36" s="33" t="n">
        <v>28</v>
      </c>
      <c r="K36" s="33" t="n">
        <v>1</v>
      </c>
      <c r="L36" s="33" t="n">
        <v>6.4</v>
      </c>
      <c r="M36" s="43"/>
      <c r="N36" s="43"/>
    </row>
    <row r="37" customFormat="false" ht="15" hidden="false" customHeight="true" outlineLevel="0" collapsed="false">
      <c r="A37" s="16" t="s">
        <v>857</v>
      </c>
      <c r="B37" s="19" t="s">
        <v>758</v>
      </c>
      <c r="C37" s="20" t="s">
        <v>709</v>
      </c>
      <c r="D37" s="16" t="n">
        <f aca="false">INDEX(음식종류!$C$2:$C$6,MATCH(C37,음식종류!$A$2:$A$6,0))</f>
        <v>3</v>
      </c>
      <c r="E37" s="69" t="s">
        <v>858</v>
      </c>
      <c r="F37" s="69"/>
      <c r="G37" s="69"/>
      <c r="H37" s="19"/>
      <c r="I37" s="70" t="s">
        <v>839</v>
      </c>
      <c r="J37" s="33" t="n">
        <v>26.4</v>
      </c>
      <c r="K37" s="33" t="n">
        <v>0</v>
      </c>
      <c r="L37" s="33" t="n">
        <v>24.75</v>
      </c>
      <c r="M37" s="43"/>
      <c r="N37" s="43"/>
    </row>
    <row r="38" customFormat="false" ht="15" hidden="false" customHeight="true" outlineLevel="0" collapsed="false">
      <c r="A38" s="16" t="s">
        <v>859</v>
      </c>
      <c r="B38" s="19" t="s">
        <v>758</v>
      </c>
      <c r="C38" s="20" t="s">
        <v>709</v>
      </c>
      <c r="D38" s="16" t="n">
        <f aca="false">INDEX(음식종류!$C$2:$C$6,MATCH(C38,음식종류!$A$2:$A$6,0))</f>
        <v>3</v>
      </c>
      <c r="E38" s="69" t="s">
        <v>860</v>
      </c>
      <c r="F38" s="69"/>
      <c r="G38" s="69"/>
      <c r="H38" s="70" t="s">
        <v>854</v>
      </c>
      <c r="I38" s="70" t="s">
        <v>839</v>
      </c>
      <c r="J38" s="33" t="n">
        <v>24.9</v>
      </c>
      <c r="K38" s="33" t="n">
        <v>1</v>
      </c>
      <c r="L38" s="33" t="n">
        <v>20</v>
      </c>
      <c r="M38" s="43"/>
      <c r="N38" s="43"/>
    </row>
    <row r="39" customFormat="false" ht="15" hidden="false" customHeight="true" outlineLevel="0" collapsed="false">
      <c r="A39" s="16" t="s">
        <v>861</v>
      </c>
      <c r="B39" s="19" t="s">
        <v>758</v>
      </c>
      <c r="C39" s="20" t="s">
        <v>713</v>
      </c>
      <c r="D39" s="16" t="n">
        <f aca="false">INDEX(음식종류!$C$2:$C$6,MATCH(C39,음식종류!$A$2:$A$6,0))</f>
        <v>4</v>
      </c>
      <c r="E39" s="69" t="s">
        <v>862</v>
      </c>
      <c r="F39" s="69"/>
      <c r="G39" s="69"/>
      <c r="H39" s="19"/>
      <c r="I39" s="70" t="s">
        <v>839</v>
      </c>
      <c r="J39" s="33" t="n">
        <v>30.1</v>
      </c>
      <c r="K39" s="33" t="n">
        <v>0</v>
      </c>
      <c r="L39" s="33" t="n">
        <v>18.2</v>
      </c>
      <c r="M39" s="43"/>
      <c r="N39" s="43"/>
    </row>
    <row r="40" customFormat="false" ht="15" hidden="false" customHeight="true" outlineLevel="0" collapsed="false">
      <c r="A40" s="16" t="s">
        <v>863</v>
      </c>
      <c r="B40" s="19" t="s">
        <v>758</v>
      </c>
      <c r="C40" s="20" t="s">
        <v>713</v>
      </c>
      <c r="D40" s="16" t="n">
        <f aca="false">INDEX(음식종류!$C$2:$C$6,MATCH(C40,음식종류!$A$2:$A$6,0))</f>
        <v>4</v>
      </c>
      <c r="E40" s="69" t="s">
        <v>864</v>
      </c>
      <c r="F40" s="69"/>
      <c r="G40" s="69"/>
      <c r="H40" s="19"/>
      <c r="I40" s="70" t="s">
        <v>839</v>
      </c>
      <c r="J40" s="33" t="n">
        <v>21.8</v>
      </c>
      <c r="K40" s="33" t="n">
        <v>0</v>
      </c>
      <c r="L40" s="33" t="n">
        <v>16.8</v>
      </c>
      <c r="M40" s="43"/>
      <c r="N40" s="43"/>
    </row>
    <row r="41" customFormat="false" ht="15" hidden="false" customHeight="true" outlineLevel="0" collapsed="false">
      <c r="A41" s="16" t="s">
        <v>865</v>
      </c>
      <c r="B41" s="19" t="s">
        <v>758</v>
      </c>
      <c r="C41" s="20" t="s">
        <v>720</v>
      </c>
      <c r="D41" s="16" t="n">
        <f aca="false">INDEX(음식종류!$C$2:$C$6,MATCH(C41,음식종류!$A$2:$A$6,0))</f>
        <v>6</v>
      </c>
      <c r="E41" s="69" t="s">
        <v>866</v>
      </c>
      <c r="F41" s="69"/>
      <c r="G41" s="69"/>
      <c r="H41" s="19"/>
      <c r="I41" s="70" t="s">
        <v>839</v>
      </c>
      <c r="J41" s="33" t="n">
        <v>33.35</v>
      </c>
      <c r="K41" s="33" t="n">
        <v>2</v>
      </c>
      <c r="L41" s="33" t="n">
        <v>20</v>
      </c>
      <c r="M41" s="43"/>
      <c r="N41" s="43"/>
    </row>
    <row r="42" customFormat="false" ht="15" hidden="false" customHeight="true" outlineLevel="0" collapsed="false">
      <c r="A42" s="16" t="s">
        <v>867</v>
      </c>
      <c r="B42" s="19" t="s">
        <v>767</v>
      </c>
      <c r="C42" s="20" t="s">
        <v>709</v>
      </c>
      <c r="D42" s="16" t="n">
        <f aca="false">INDEX(음식종류!$C$2:$C$6,MATCH(C42,음식종류!$A$2:$A$6,0))</f>
        <v>3</v>
      </c>
      <c r="E42" s="69" t="s">
        <v>868</v>
      </c>
      <c r="F42" s="69"/>
      <c r="G42" s="69"/>
      <c r="H42" s="19"/>
      <c r="I42" s="70" t="s">
        <v>839</v>
      </c>
      <c r="J42" s="33" t="n">
        <v>15.2</v>
      </c>
      <c r="K42" s="33" t="n">
        <v>0</v>
      </c>
      <c r="L42" s="33" t="n">
        <v>16.6</v>
      </c>
      <c r="M42" s="43"/>
      <c r="N42" s="43"/>
    </row>
    <row r="43" customFormat="false" ht="15" hidden="false" customHeight="true" outlineLevel="0" collapsed="false">
      <c r="A43" s="16" t="s">
        <v>869</v>
      </c>
      <c r="B43" s="19" t="s">
        <v>767</v>
      </c>
      <c r="C43" s="20" t="s">
        <v>709</v>
      </c>
      <c r="D43" s="16" t="n">
        <f aca="false">INDEX(음식종류!$C$2:$C$6,MATCH(C43,음식종류!$A$2:$A$6,0))</f>
        <v>3</v>
      </c>
      <c r="E43" s="69" t="s">
        <v>870</v>
      </c>
      <c r="F43" s="69"/>
      <c r="G43" s="69"/>
      <c r="H43" s="19"/>
      <c r="I43" s="70" t="s">
        <v>839</v>
      </c>
      <c r="J43" s="33" t="n">
        <v>2.1</v>
      </c>
      <c r="K43" s="33" t="n">
        <v>0</v>
      </c>
      <c r="L43" s="33" t="n">
        <v>16.4</v>
      </c>
      <c r="M43" s="43"/>
      <c r="N43" s="43"/>
    </row>
    <row r="44" customFormat="false" ht="15" hidden="false" customHeight="true" outlineLevel="0" collapsed="false">
      <c r="A44" s="16" t="s">
        <v>871</v>
      </c>
      <c r="B44" s="19" t="s">
        <v>767</v>
      </c>
      <c r="C44" s="20" t="s">
        <v>713</v>
      </c>
      <c r="D44" s="16" t="n">
        <f aca="false">INDEX(음식종류!$C$2:$C$6,MATCH(C44,음식종류!$A$2:$A$6,0))</f>
        <v>4</v>
      </c>
      <c r="E44" s="69" t="s">
        <v>872</v>
      </c>
      <c r="F44" s="69"/>
      <c r="G44" s="69"/>
      <c r="H44" s="70" t="s">
        <v>854</v>
      </c>
      <c r="I44" s="70" t="s">
        <v>839</v>
      </c>
      <c r="J44" s="33" t="n">
        <v>12.4</v>
      </c>
      <c r="K44" s="33" t="n">
        <v>0</v>
      </c>
      <c r="L44" s="33" t="n">
        <v>21.6</v>
      </c>
      <c r="M44" s="43"/>
      <c r="N44" s="43"/>
    </row>
    <row r="45" customFormat="false" ht="15" hidden="false" customHeight="true" outlineLevel="0" collapsed="false">
      <c r="A45" s="16" t="s">
        <v>873</v>
      </c>
      <c r="B45" s="19" t="s">
        <v>767</v>
      </c>
      <c r="C45" s="20" t="s">
        <v>716</v>
      </c>
      <c r="D45" s="16" t="n">
        <f aca="false">INDEX(음식종류!$C$2:$C$6,MATCH(C45,음식종류!$A$2:$A$6,0))</f>
        <v>5</v>
      </c>
      <c r="E45" s="69" t="s">
        <v>874</v>
      </c>
      <c r="F45" s="69"/>
      <c r="G45" s="69"/>
      <c r="H45" s="19"/>
      <c r="I45" s="70" t="s">
        <v>839</v>
      </c>
      <c r="J45" s="33" t="n">
        <v>7.1</v>
      </c>
      <c r="K45" s="33" t="n">
        <v>0</v>
      </c>
      <c r="L45" s="33" t="n">
        <v>14.15</v>
      </c>
      <c r="M45" s="43"/>
      <c r="N45" s="43"/>
    </row>
    <row r="46" customFormat="false" ht="15" hidden="false" customHeight="true" outlineLevel="0" collapsed="false">
      <c r="A46" s="16" t="s">
        <v>875</v>
      </c>
      <c r="B46" s="19" t="s">
        <v>767</v>
      </c>
      <c r="C46" s="20" t="s">
        <v>716</v>
      </c>
      <c r="D46" s="16" t="n">
        <f aca="false">INDEX(음식종류!$C$2:$C$6,MATCH(C46,음식종류!$A$2:$A$6,0))</f>
        <v>5</v>
      </c>
      <c r="E46" s="69" t="s">
        <v>876</v>
      </c>
      <c r="F46" s="69"/>
      <c r="G46" s="69"/>
      <c r="H46" s="70" t="s">
        <v>854</v>
      </c>
      <c r="I46" s="70" t="s">
        <v>839</v>
      </c>
      <c r="J46" s="33" t="n">
        <v>7.4</v>
      </c>
      <c r="K46" s="33" t="n">
        <v>2</v>
      </c>
      <c r="L46" s="33" t="n">
        <v>20.5</v>
      </c>
      <c r="M46" s="43"/>
      <c r="N46" s="43"/>
    </row>
    <row r="47" customFormat="false" ht="15" hidden="false" customHeight="true" outlineLevel="0" collapsed="false">
      <c r="A47" s="16" t="s">
        <v>877</v>
      </c>
      <c r="B47" s="19" t="s">
        <v>776</v>
      </c>
      <c r="C47" s="20" t="s">
        <v>709</v>
      </c>
      <c r="D47" s="16" t="n">
        <f aca="false">INDEX(음식종류!$C$2:$C$6,MATCH(C47,음식종류!$A$2:$A$6,0))</f>
        <v>3</v>
      </c>
      <c r="E47" s="69" t="s">
        <v>878</v>
      </c>
      <c r="F47" s="69"/>
      <c r="G47" s="69"/>
      <c r="H47" s="70" t="s">
        <v>854</v>
      </c>
      <c r="I47" s="70" t="s">
        <v>839</v>
      </c>
      <c r="J47" s="33" t="n">
        <v>12.9</v>
      </c>
      <c r="K47" s="33" t="n">
        <v>0</v>
      </c>
      <c r="L47" s="33" t="n">
        <v>40.2</v>
      </c>
      <c r="M47" s="43"/>
      <c r="N47" s="43"/>
    </row>
    <row r="48" customFormat="false" ht="15" hidden="false" customHeight="true" outlineLevel="0" collapsed="false">
      <c r="A48" s="16" t="s">
        <v>879</v>
      </c>
      <c r="B48" s="19" t="s">
        <v>776</v>
      </c>
      <c r="C48" s="20" t="s">
        <v>713</v>
      </c>
      <c r="D48" s="16" t="n">
        <f aca="false">INDEX(음식종류!$C$2:$C$6,MATCH(C48,음식종류!$A$2:$A$6,0))</f>
        <v>4</v>
      </c>
      <c r="E48" s="69" t="s">
        <v>880</v>
      </c>
      <c r="F48" s="69"/>
      <c r="G48" s="69"/>
      <c r="H48" s="70" t="s">
        <v>854</v>
      </c>
      <c r="I48" s="70" t="s">
        <v>839</v>
      </c>
      <c r="J48" s="33" t="n">
        <v>3.6</v>
      </c>
      <c r="K48" s="33" t="n">
        <v>0</v>
      </c>
      <c r="L48" s="33" t="n">
        <v>39.6</v>
      </c>
      <c r="M48" s="43"/>
      <c r="N48" s="43"/>
    </row>
    <row r="49" customFormat="false" ht="15" hidden="false" customHeight="true" outlineLevel="0" collapsed="false">
      <c r="A49" s="16" t="s">
        <v>881</v>
      </c>
      <c r="B49" s="19" t="s">
        <v>776</v>
      </c>
      <c r="C49" s="20" t="s">
        <v>713</v>
      </c>
      <c r="D49" s="16" t="n">
        <f aca="false">INDEX(음식종류!$C$2:$C$6,MATCH(C49,음식종류!$A$2:$A$6,0))</f>
        <v>4</v>
      </c>
      <c r="E49" s="69" t="s">
        <v>882</v>
      </c>
      <c r="F49" s="69"/>
      <c r="G49" s="69"/>
      <c r="H49" s="19"/>
      <c r="I49" s="70" t="s">
        <v>839</v>
      </c>
      <c r="J49" s="33" t="n">
        <v>9.7</v>
      </c>
      <c r="K49" s="33" t="n">
        <v>1</v>
      </c>
      <c r="L49" s="33" t="n">
        <v>36.5</v>
      </c>
      <c r="M49" s="43"/>
      <c r="N49" s="43"/>
    </row>
    <row r="50" customFormat="false" ht="15" hidden="false" customHeight="true" outlineLevel="0" collapsed="false">
      <c r="A50" s="16" t="s">
        <v>883</v>
      </c>
      <c r="B50" s="19" t="s">
        <v>776</v>
      </c>
      <c r="C50" s="20" t="s">
        <v>724</v>
      </c>
      <c r="D50" s="16" t="n">
        <f aca="false">INDEX(음식종류!$C$2:$C$6,MATCH(C50,음식종류!$A$2:$A$6,0))</f>
        <v>8</v>
      </c>
      <c r="E50" s="69" t="s">
        <v>884</v>
      </c>
      <c r="F50" s="69"/>
      <c r="G50" s="69"/>
      <c r="H50" s="19"/>
      <c r="I50" s="70" t="s">
        <v>839</v>
      </c>
      <c r="J50" s="33" t="n">
        <v>13.1</v>
      </c>
      <c r="K50" s="33" t="n">
        <v>2</v>
      </c>
      <c r="L50" s="33" t="n">
        <v>27.8</v>
      </c>
      <c r="M50" s="43"/>
      <c r="N50" s="43"/>
    </row>
    <row r="51" customFormat="false" ht="15" hidden="false" customHeight="true" outlineLevel="0" collapsed="false">
      <c r="A51" s="16" t="s">
        <v>885</v>
      </c>
      <c r="B51" s="19" t="s">
        <v>786</v>
      </c>
      <c r="C51" s="20" t="s">
        <v>709</v>
      </c>
      <c r="D51" s="16" t="n">
        <f aca="false">INDEX(음식종류!$C$2:$C$6,MATCH(C51,음식종류!$A$2:$A$6,0))</f>
        <v>3</v>
      </c>
      <c r="E51" s="69" t="s">
        <v>886</v>
      </c>
      <c r="F51" s="69"/>
      <c r="G51" s="69"/>
      <c r="H51" s="70" t="s">
        <v>854</v>
      </c>
      <c r="I51" s="70" t="s">
        <v>839</v>
      </c>
      <c r="J51" s="33" t="n">
        <v>21</v>
      </c>
      <c r="K51" s="33" t="n">
        <v>0</v>
      </c>
      <c r="L51" s="33" t="n">
        <v>30.2</v>
      </c>
      <c r="M51" s="43"/>
      <c r="N51" s="43"/>
    </row>
    <row r="52" customFormat="false" ht="15" hidden="false" customHeight="true" outlineLevel="0" collapsed="false">
      <c r="A52" s="16" t="s">
        <v>887</v>
      </c>
      <c r="B52" s="19" t="s">
        <v>786</v>
      </c>
      <c r="C52" s="20" t="s">
        <v>709</v>
      </c>
      <c r="D52" s="16" t="n">
        <f aca="false">INDEX(음식종류!$C$2:$C$6,MATCH(C52,음식종류!$A$2:$A$6,0))</f>
        <v>3</v>
      </c>
      <c r="E52" s="69" t="s">
        <v>886</v>
      </c>
      <c r="F52" s="69"/>
      <c r="G52" s="69"/>
      <c r="H52" s="70" t="s">
        <v>854</v>
      </c>
      <c r="I52" s="70" t="s">
        <v>839</v>
      </c>
      <c r="J52" s="33" t="n">
        <v>18.9</v>
      </c>
      <c r="K52" s="33" t="n">
        <v>0</v>
      </c>
      <c r="L52" s="33" t="n">
        <v>33.65</v>
      </c>
      <c r="M52" s="43"/>
      <c r="N52" s="43"/>
    </row>
    <row r="53" customFormat="false" ht="15" hidden="false" customHeight="true" outlineLevel="0" collapsed="false">
      <c r="A53" s="16" t="s">
        <v>888</v>
      </c>
      <c r="B53" s="19" t="s">
        <v>786</v>
      </c>
      <c r="C53" s="20" t="s">
        <v>713</v>
      </c>
      <c r="D53" s="16" t="n">
        <f aca="false">INDEX(음식종류!$C$2:$C$6,MATCH(C53,음식종류!$A$2:$A$6,0))</f>
        <v>4</v>
      </c>
      <c r="E53" s="69" t="s">
        <v>889</v>
      </c>
      <c r="F53" s="69"/>
      <c r="G53" s="69"/>
      <c r="H53" s="19"/>
      <c r="I53" s="70" t="s">
        <v>839</v>
      </c>
      <c r="J53" s="33" t="n">
        <v>20</v>
      </c>
      <c r="K53" s="33" t="n">
        <v>1</v>
      </c>
      <c r="L53" s="33" t="n">
        <v>28.65</v>
      </c>
      <c r="M53" s="43"/>
      <c r="N53" s="43"/>
    </row>
    <row r="54" customFormat="false" ht="15" hidden="false" customHeight="true" outlineLevel="0" collapsed="false">
      <c r="A54" s="16" t="s">
        <v>890</v>
      </c>
      <c r="B54" s="19" t="s">
        <v>786</v>
      </c>
      <c r="C54" s="20" t="s">
        <v>716</v>
      </c>
      <c r="D54" s="16" t="n">
        <f aca="false">INDEX(음식종류!$C$2:$C$6,MATCH(C54,음식종류!$A$2:$A$6,0))</f>
        <v>5</v>
      </c>
      <c r="E54" s="69" t="s">
        <v>891</v>
      </c>
      <c r="F54" s="69"/>
      <c r="G54" s="69"/>
      <c r="H54" s="19"/>
      <c r="I54" s="70" t="s">
        <v>839</v>
      </c>
      <c r="J54" s="33" t="n">
        <v>27.1</v>
      </c>
      <c r="K54" s="33" t="n">
        <v>2</v>
      </c>
      <c r="L54" s="33" t="n">
        <v>27.8</v>
      </c>
      <c r="M54" s="43"/>
      <c r="N54" s="43"/>
    </row>
    <row r="55" customFormat="false" ht="15" hidden="false" customHeight="false" outlineLevel="0" collapsed="false">
      <c r="A55" s="32" t="s">
        <v>892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customFormat="false" ht="15" hidden="false" customHeight="false" outlineLevel="0" collapsed="false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customFormat="false" ht="18.75" hidden="false" customHeight="true" outlineLevel="0" collapsed="false">
      <c r="A57" s="53" t="s">
        <v>893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</row>
    <row r="58" customFormat="false" ht="30" hidden="false" customHeight="true" outlineLevel="0" collapsed="false">
      <c r="A58" s="44" t="s">
        <v>12</v>
      </c>
      <c r="B58" s="44" t="s">
        <v>703</v>
      </c>
      <c r="C58" s="54" t="s">
        <v>807</v>
      </c>
      <c r="D58" s="54" t="s">
        <v>808</v>
      </c>
      <c r="E58" s="54" t="s">
        <v>809</v>
      </c>
      <c r="F58" s="54" t="s">
        <v>810</v>
      </c>
      <c r="G58" s="54" t="s">
        <v>811</v>
      </c>
      <c r="H58" s="44" t="s">
        <v>812</v>
      </c>
      <c r="I58" s="44" t="s">
        <v>813</v>
      </c>
      <c r="J58" s="43"/>
      <c r="K58" s="43"/>
      <c r="L58" s="43"/>
      <c r="M58" s="43"/>
      <c r="N58" s="43"/>
    </row>
    <row r="59" customFormat="false" ht="15" hidden="false" customHeight="true" outlineLevel="0" collapsed="false">
      <c r="A59" s="57" t="s">
        <v>894</v>
      </c>
      <c r="B59" s="17" t="s">
        <v>742</v>
      </c>
      <c r="C59" s="71" t="n">
        <v>2</v>
      </c>
      <c r="D59" s="71" t="n">
        <v>1</v>
      </c>
      <c r="E59" s="71" t="n">
        <v>0</v>
      </c>
      <c r="F59" s="71" t="n">
        <v>1</v>
      </c>
      <c r="G59" s="71" t="n">
        <v>0</v>
      </c>
      <c r="H59" s="59" t="n">
        <f aca="false">SUM(C59:G59)</f>
        <v>4</v>
      </c>
      <c r="I59" s="59" t="n">
        <f aca="false">SUMPRODUCT(C59:G59,$C$5:$G$5)</f>
        <v>16</v>
      </c>
      <c r="J59" s="43"/>
      <c r="K59" s="43"/>
      <c r="L59" s="43"/>
      <c r="M59" s="43"/>
      <c r="N59" s="43"/>
    </row>
    <row r="60" customFormat="false" ht="15" hidden="false" customHeight="true" outlineLevel="0" collapsed="false">
      <c r="A60" s="57" t="s">
        <v>895</v>
      </c>
      <c r="B60" s="17" t="s">
        <v>896</v>
      </c>
      <c r="C60" s="71" t="n">
        <v>3</v>
      </c>
      <c r="D60" s="71" t="n">
        <v>2</v>
      </c>
      <c r="E60" s="71" t="n">
        <v>1</v>
      </c>
      <c r="F60" s="71" t="n">
        <v>1</v>
      </c>
      <c r="G60" s="71" t="n">
        <v>0</v>
      </c>
      <c r="H60" s="59" t="n">
        <f aca="false">SUM(C60:G60)</f>
        <v>7</v>
      </c>
      <c r="I60" s="59" t="n">
        <f aca="false">SUMPRODUCT(C60:G60,$C$5:$G$5)</f>
        <v>28</v>
      </c>
      <c r="J60" s="43"/>
      <c r="K60" s="43"/>
      <c r="L60" s="43"/>
      <c r="M60" s="43"/>
      <c r="N60" s="43"/>
    </row>
    <row r="61" customFormat="false" ht="15" hidden="false" customHeight="true" outlineLevel="0" collapsed="false">
      <c r="A61" s="57" t="s">
        <v>897</v>
      </c>
      <c r="B61" s="17" t="s">
        <v>898</v>
      </c>
      <c r="C61" s="71" t="n">
        <v>2</v>
      </c>
      <c r="D61" s="71" t="n">
        <v>2</v>
      </c>
      <c r="E61" s="71" t="n">
        <v>1</v>
      </c>
      <c r="F61" s="71" t="n">
        <v>0</v>
      </c>
      <c r="G61" s="71" t="n">
        <v>0</v>
      </c>
      <c r="H61" s="59" t="n">
        <f aca="false">SUM(C61:G61)</f>
        <v>5</v>
      </c>
      <c r="I61" s="59" t="n">
        <f aca="false">SUMPRODUCT(C61:G61,$C$5:$G$5)</f>
        <v>19</v>
      </c>
      <c r="J61" s="43"/>
      <c r="K61" s="43"/>
      <c r="L61" s="43"/>
      <c r="M61" s="43"/>
      <c r="N61" s="43"/>
    </row>
    <row r="62" customFormat="false" ht="15" hidden="false" customHeight="true" outlineLevel="0" collapsed="false">
      <c r="A62" s="57" t="s">
        <v>899</v>
      </c>
      <c r="B62" s="17" t="s">
        <v>900</v>
      </c>
      <c r="C62" s="71" t="n">
        <v>2</v>
      </c>
      <c r="D62" s="71" t="n">
        <v>1</v>
      </c>
      <c r="E62" s="71" t="n">
        <v>0</v>
      </c>
      <c r="F62" s="71" t="n">
        <v>1</v>
      </c>
      <c r="G62" s="71" t="n">
        <v>1</v>
      </c>
      <c r="H62" s="59" t="n">
        <f aca="false">SUM(C62:G62)</f>
        <v>5</v>
      </c>
      <c r="I62" s="59" t="n">
        <f aca="false">SUMPRODUCT(C62:G62,$C$5:$G$5)</f>
        <v>24</v>
      </c>
      <c r="J62" s="43"/>
      <c r="K62" s="43"/>
      <c r="L62" s="43"/>
      <c r="M62" s="43"/>
      <c r="N62" s="43"/>
    </row>
    <row r="63" customFormat="false" ht="15" hidden="false" customHeight="true" outlineLevel="0" collapsed="false">
      <c r="A63" s="57" t="s">
        <v>901</v>
      </c>
      <c r="B63" s="17" t="s">
        <v>902</v>
      </c>
      <c r="C63" s="71" t="n">
        <v>2</v>
      </c>
      <c r="D63" s="71" t="n">
        <v>2</v>
      </c>
      <c r="E63" s="71" t="n">
        <v>1</v>
      </c>
      <c r="F63" s="71" t="n">
        <v>0</v>
      </c>
      <c r="G63" s="71" t="n">
        <v>0</v>
      </c>
      <c r="H63" s="59" t="n">
        <f aca="false">SUM(C63:G63)</f>
        <v>5</v>
      </c>
      <c r="I63" s="59" t="n">
        <f aca="false">SUMPRODUCT(C63:G63,$C$5:$G$5)</f>
        <v>19</v>
      </c>
      <c r="J63" s="43"/>
      <c r="K63" s="43"/>
      <c r="L63" s="43"/>
      <c r="M63" s="43"/>
      <c r="N63" s="43"/>
    </row>
    <row r="64" customFormat="false" ht="15" hidden="false" customHeight="true" outlineLevel="0" collapsed="false">
      <c r="A64" s="43"/>
      <c r="B64" s="24" t="s">
        <v>903</v>
      </c>
      <c r="C64" s="43"/>
      <c r="D64" s="43"/>
      <c r="E64" s="43"/>
      <c r="F64" s="43"/>
      <c r="G64" s="43"/>
      <c r="H64" s="63" t="n">
        <f aca="false">SUM(H60:H63)</f>
        <v>22</v>
      </c>
      <c r="I64" s="63" t="n">
        <f aca="false">SUM(I60:I63)</f>
        <v>90</v>
      </c>
      <c r="J64" s="43"/>
      <c r="K64" s="43"/>
      <c r="L64" s="43"/>
      <c r="M64" s="43"/>
      <c r="N64" s="43"/>
    </row>
    <row r="65" customFormat="false" ht="15" hidden="false" customHeight="true" outlineLevel="0" collapsed="false">
      <c r="A65" s="46" t="s">
        <v>904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</row>
  </sheetData>
  <mergeCells count="39">
    <mergeCell ref="A15:D15"/>
    <mergeCell ref="E15:G15"/>
    <mergeCell ref="A16:D16"/>
    <mergeCell ref="E16:G16"/>
    <mergeCell ref="A17:D17"/>
    <mergeCell ref="E17:G17"/>
    <mergeCell ref="A18:D18"/>
    <mergeCell ref="E18:G18"/>
    <mergeCell ref="A19:D19"/>
    <mergeCell ref="E19:G19"/>
    <mergeCell ref="A20:D20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</mergeCells>
  <conditionalFormatting sqref="E15">
    <cfRule type="expression" priority="2" aboveAverage="0" equalAverage="0" bottom="0" percent="0" rank="0" text="" dxfId="9">
      <formula>E15="OK"</formula>
    </cfRule>
    <cfRule type="expression" priority="3" aboveAverage="0" equalAverage="0" bottom="0" percent="0" rank="0" text="" dxfId="10">
      <formula>E15&lt;&gt;"OK"</formula>
    </cfRule>
  </conditionalFormatting>
  <conditionalFormatting sqref="E16">
    <cfRule type="expression" priority="4" aboveAverage="0" equalAverage="0" bottom="0" percent="0" rank="0" text="" dxfId="9">
      <formula>E16="OK"</formula>
    </cfRule>
    <cfRule type="expression" priority="5" aboveAverage="0" equalAverage="0" bottom="0" percent="0" rank="0" text="" dxfId="10">
      <formula>E16&lt;&gt;"OK"</formula>
    </cfRule>
  </conditionalFormatting>
  <conditionalFormatting sqref="E17">
    <cfRule type="expression" priority="6" aboveAverage="0" equalAverage="0" bottom="0" percent="0" rank="0" text="" dxfId="9">
      <formula>E17="OK"</formula>
    </cfRule>
    <cfRule type="expression" priority="7" aboveAverage="0" equalAverage="0" bottom="0" percent="0" rank="0" text="" dxfId="10">
      <formula>E17&lt;&gt;"OK"</formula>
    </cfRule>
  </conditionalFormatting>
  <conditionalFormatting sqref="E18">
    <cfRule type="expression" priority="8" aboveAverage="0" equalAverage="0" bottom="0" percent="0" rank="0" text="" dxfId="9">
      <formula>E18="OK"</formula>
    </cfRule>
    <cfRule type="expression" priority="9" aboveAverage="0" equalAverage="0" bottom="0" percent="0" rank="0" text="" dxfId="10">
      <formula>E18&lt;&gt;"OK"</formula>
    </cfRule>
  </conditionalFormatting>
  <conditionalFormatting sqref="E19">
    <cfRule type="expression" priority="10" aboveAverage="0" equalAverage="0" bottom="0" percent="0" rank="0" text="" dxfId="9">
      <formula>E19="OK"</formula>
    </cfRule>
    <cfRule type="expression" priority="11" aboveAverage="0" equalAverage="0" bottom="0" percent="0" rank="0" text="" dxfId="10">
      <formula>E19&lt;&gt;"OK"</formula>
    </cfRule>
  </conditionalFormatting>
  <conditionalFormatting sqref="N6:N11">
    <cfRule type="expression" priority="12" aboveAverage="0" equalAverage="0" bottom="0" percent="0" rank="0" text="" dxfId="10">
      <formula>N6&lt;&gt;"OK"</formula>
    </cfRule>
  </conditionalFormatting>
  <dataValidations count="2">
    <dataValidation allowBlank="true" errorStyle="stop" operator="between" showDropDown="false" showErrorMessage="false" showInputMessage="false" sqref="C28:C80" type="list">
      <formula1>"Fruit,Bread,Cheese,Cookie,Cake"</formula1>
      <formula2>0</formula2>
    </dataValidation>
    <dataValidation allowBlank="true" errorStyle="stop" operator="between" showDropDown="false" showErrorMessage="false" showInputMessage="false" sqref="I28:I80" type="list">
      <formula1>"계획,배치됨,검증됨"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1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2"/>
    <col collapsed="false" customWidth="true" hidden="false" outlineLevel="0" max="10" min="10" style="1" width="18"/>
  </cols>
  <sheetData>
    <row r="1" customFormat="false" ht="18.75" hidden="false" customHeight="true" outlineLevel="0" collapsed="false">
      <c r="A1" s="72" t="s">
        <v>905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15" hidden="false" customHeight="true" outlineLevel="0" collapsed="false">
      <c r="A2" s="46" t="s">
        <v>906</v>
      </c>
      <c r="B2" s="43"/>
      <c r="C2" s="43"/>
      <c r="D2" s="43"/>
      <c r="E2" s="43"/>
      <c r="F2" s="43"/>
      <c r="G2" s="43"/>
      <c r="H2" s="43"/>
      <c r="I2" s="43"/>
      <c r="J2" s="43"/>
    </row>
    <row r="3" customFormat="false" ht="1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</row>
    <row r="4" customFormat="false" ht="15" hidden="false" customHeight="true" outlineLevel="0" collapsed="false">
      <c r="A4" s="55" t="s">
        <v>907</v>
      </c>
      <c r="B4" s="73" t="n">
        <f aca="false">음식배치!E20</f>
        <v>3.91304347826087</v>
      </c>
      <c r="C4" s="43"/>
      <c r="D4" s="55" t="s">
        <v>908</v>
      </c>
      <c r="E4" s="73" t="n">
        <f aca="false">INDEX(조정값!$G$2:$G$170,MATCH("LDR_WALK_SPEED",조정값!$A$2:$A$170,0))</f>
        <v>2.6</v>
      </c>
      <c r="F4" s="43"/>
      <c r="G4" s="57" t="s">
        <v>909</v>
      </c>
      <c r="H4" s="73" t="n">
        <f aca="false">INDEX(조정값!$G$2:$G$170,MATCH("CAM_DIST_PER_CM",조정값!$A$2:$A$170,0))</f>
        <v>0.05</v>
      </c>
      <c r="I4" s="43"/>
      <c r="J4" s="43"/>
    </row>
    <row r="5" customFormat="false" ht="15" hidden="false" customHeight="true" outlineLevel="0" collapsed="false">
      <c r="A5" s="55" t="s">
        <v>910</v>
      </c>
      <c r="B5" s="74" t="n">
        <f aca="false">(INDEX(조정값!$G$2:$G$170,MATCH("JLY_SIZE_BASE",조정값!$A$2:$A$170,0))+INDEX(조정값!$G$2:$G$170,MATCH("JLY_SIZE_PER_CM",조정값!$A$2:$A$170,0))*B4)/2</f>
        <v>0.228913043478261</v>
      </c>
      <c r="C5" s="43"/>
      <c r="D5" s="57" t="s">
        <v>911</v>
      </c>
      <c r="E5" s="73" t="n">
        <f aca="false">INDEX(조정값!$G$2:$G$170,MATCH("LDR_WALK_FACTOR_100",조정값!$A$2:$A$170,0))</f>
        <v>0.7</v>
      </c>
      <c r="F5" s="43"/>
      <c r="G5" s="55" t="s">
        <v>912</v>
      </c>
      <c r="H5" s="73" t="n">
        <f aca="false">INDEX(조정값!$G$2:$G$170,MATCH("CAM_MAX_DIST",조정값!$A$2:$A$170,0))</f>
        <v>7.5</v>
      </c>
      <c r="I5" s="43"/>
      <c r="J5" s="43"/>
    </row>
    <row r="6" customFormat="false" ht="15" hidden="false" customHeight="true" outlineLevel="0" collapsed="false">
      <c r="A6" s="55" t="s">
        <v>913</v>
      </c>
      <c r="B6" s="74" t="n">
        <f aca="false">INDEX(조정값!$G$2:$G$170,MATCH("LDR_BODY_SIZE",조정값!$A$2:$A$170,0))/2</f>
        <v>0.3</v>
      </c>
      <c r="C6" s="43"/>
      <c r="D6" s="55" t="s">
        <v>914</v>
      </c>
      <c r="E6" s="73" t="n">
        <f aca="false">INDEX(조정값!$G$2:$G$170,MATCH("VAC_LEADER_PULL_MAX",조정값!$A$2:$A$170,0))</f>
        <v>2.3</v>
      </c>
      <c r="F6" s="43"/>
      <c r="G6" s="55" t="s">
        <v>180</v>
      </c>
      <c r="H6" s="73" t="n">
        <f aca="false">INDEX(조정값!$G$2:$G$170,MATCH("CHN_LEADER_LEN",조정값!$A$2:$A$170,0))</f>
        <v>10</v>
      </c>
      <c r="I6" s="43"/>
      <c r="J6" s="43"/>
    </row>
    <row r="7" customFormat="false" ht="15" hidden="false" customHeight="true" outlineLevel="0" collapsed="false">
      <c r="A7" s="55" t="s">
        <v>212</v>
      </c>
      <c r="B7" s="73" t="n">
        <f aca="false">INDEX(조정값!$G$2:$G$170,MATCH("CHN_SPACING",조정값!$A$2:$A$170,0))</f>
        <v>1.08</v>
      </c>
      <c r="C7" s="43"/>
      <c r="D7" s="55" t="s">
        <v>915</v>
      </c>
      <c r="E7" s="73" t="n">
        <f aca="false">INDEX(조정값!$G$2:$G$170,MATCH("VAC_ZONE_L",조정값!$A$2:$A$170,0))</f>
        <v>2.4</v>
      </c>
      <c r="F7" s="43"/>
      <c r="G7" s="55" t="s">
        <v>916</v>
      </c>
      <c r="H7" s="73" t="n">
        <f aca="false">INDEX(조정값!$G$2:$G$170,MATCH("CHN_GOAL",조정값!$A$2:$A$170,0))</f>
        <v>100</v>
      </c>
      <c r="I7" s="43"/>
      <c r="J7" s="43"/>
    </row>
    <row r="8" customFormat="false" ht="15" hidden="false" customHeight="true" outlineLevel="0" collapsed="false">
      <c r="A8" s="43"/>
      <c r="B8" s="43"/>
      <c r="C8" s="43"/>
      <c r="D8" s="55" t="s">
        <v>917</v>
      </c>
      <c r="E8" s="73" t="n">
        <f aca="false">INDEX(조정값!$G$2:$G$170,MATCH("CAM_BASE_DIST",조정값!$A$2:$A$170,0))</f>
        <v>3.2</v>
      </c>
      <c r="F8" s="43"/>
      <c r="G8" s="43"/>
      <c r="H8" s="43"/>
      <c r="I8" s="43"/>
      <c r="J8" s="43"/>
    </row>
    <row r="9" customFormat="false" ht="15" hidden="false" customHeight="false" outlineLevel="0" collapsed="false">
      <c r="A9" s="43"/>
      <c r="B9" s="43"/>
      <c r="C9" s="43"/>
      <c r="D9" s="43"/>
      <c r="E9" s="43"/>
      <c r="F9" s="43"/>
      <c r="G9" s="43"/>
      <c r="H9" s="43"/>
      <c r="I9" s="43"/>
      <c r="J9" s="43"/>
    </row>
    <row r="10" customFormat="false" ht="30" hidden="false" customHeight="true" outlineLevel="0" collapsed="false">
      <c r="A10" s="44" t="s">
        <v>918</v>
      </c>
      <c r="B10" s="44" t="s">
        <v>919</v>
      </c>
      <c r="C10" s="44" t="s">
        <v>920</v>
      </c>
      <c r="D10" s="44" t="s">
        <v>921</v>
      </c>
      <c r="E10" s="44" t="s">
        <v>922</v>
      </c>
      <c r="F10" s="44" t="s">
        <v>923</v>
      </c>
      <c r="G10" s="44" t="s">
        <v>924</v>
      </c>
      <c r="H10" s="44" t="s">
        <v>925</v>
      </c>
      <c r="I10" s="54" t="s">
        <v>926</v>
      </c>
      <c r="J10" s="44" t="s">
        <v>927</v>
      </c>
    </row>
    <row r="11" customFormat="false" ht="15" hidden="false" customHeight="true" outlineLevel="0" collapsed="false">
      <c r="A11" s="71" t="n">
        <v>10</v>
      </c>
      <c r="B11" s="75" t="n">
        <f aca="false">1+($E$5-1)*(A11-$H$6)/($H$7-$H$6)</f>
        <v>1</v>
      </c>
      <c r="C11" s="75" t="n">
        <f aca="false">$E$4*B11</f>
        <v>2.6</v>
      </c>
      <c r="D11" s="75" t="n">
        <f aca="false">C11-$E$6</f>
        <v>0.3</v>
      </c>
      <c r="E11" s="75" t="n">
        <f aca="false">IF(D11&gt;0,$E$7/D11,"못 벗어남 · 점프")</f>
        <v>7.99999999999999</v>
      </c>
      <c r="F11" s="75" t="n">
        <f aca="false">MIN($H$5,$E$8+(A11-$H$6)*$H$4)</f>
        <v>3.2</v>
      </c>
      <c r="G11" s="75" t="n">
        <f aca="false">(A11-$H$6)/$B$4</f>
        <v>0</v>
      </c>
      <c r="H11" s="75" t="n">
        <f aca="false">IF(G11&lt;=0,$B$6,($B$6+$B$5)*$B$7+MAX(0,G11-1)*2*$B$5*$B$7+$B$5)</f>
        <v>0.3</v>
      </c>
      <c r="I11" s="75" t="n">
        <f aca="false">10/C11</f>
        <v>3.84615384615385</v>
      </c>
      <c r="J11" s="75" t="n">
        <f aca="false">H11/C11</f>
        <v>0.115384615384615</v>
      </c>
    </row>
    <row r="12" customFormat="false" ht="15" hidden="false" customHeight="true" outlineLevel="0" collapsed="false">
      <c r="A12" s="71" t="n">
        <v>15</v>
      </c>
      <c r="B12" s="75" t="n">
        <f aca="false">1+($E$5-1)*(A12-$H$6)/($H$7-$H$6)</f>
        <v>0.983333333333333</v>
      </c>
      <c r="C12" s="75" t="n">
        <f aca="false">$E$4*B12</f>
        <v>2.55666666666667</v>
      </c>
      <c r="D12" s="75" t="n">
        <f aca="false">C12-$E$6</f>
        <v>0.256666666666667</v>
      </c>
      <c r="E12" s="75" t="n">
        <f aca="false">IF(D12&gt;0,$E$7/D12,"못 벗어남 · 점프")</f>
        <v>9.35064935064935</v>
      </c>
      <c r="F12" s="75" t="n">
        <f aca="false">MIN($H$5,$E$8+(A12-$H$6)*$H$4)</f>
        <v>3.45</v>
      </c>
      <c r="G12" s="75" t="n">
        <f aca="false">(A12-$H$6)/$B$4</f>
        <v>1.27777777777778</v>
      </c>
      <c r="H12" s="75" t="n">
        <f aca="false">IF(G12&lt;=0,$B$6,($B$6+$B$5)*$B$7+MAX(0,G12-1)*2*$B$5*$B$7+$B$5)</f>
        <v>0.937486956521739</v>
      </c>
      <c r="I12" s="75" t="n">
        <f aca="false">10/C12</f>
        <v>3.91134289439374</v>
      </c>
      <c r="J12" s="75" t="n">
        <f aca="false">H12/C12</f>
        <v>0.366683294597812</v>
      </c>
    </row>
    <row r="13" customFormat="false" ht="15" hidden="false" customHeight="true" outlineLevel="0" collapsed="false">
      <c r="A13" s="71" t="n">
        <v>20</v>
      </c>
      <c r="B13" s="75" t="n">
        <f aca="false">1+($E$5-1)*(A13-$H$6)/($H$7-$H$6)</f>
        <v>0.966666666666667</v>
      </c>
      <c r="C13" s="75" t="n">
        <f aca="false">$E$4*B13</f>
        <v>2.51333333333333</v>
      </c>
      <c r="D13" s="75" t="n">
        <f aca="false">C13-$E$6</f>
        <v>0.213333333333334</v>
      </c>
      <c r="E13" s="75" t="n">
        <f aca="false">IF(D13&gt;0,$E$7/D13,"못 벗어남 · 점프")</f>
        <v>11.25</v>
      </c>
      <c r="F13" s="75" t="n">
        <f aca="false">MIN($H$5,$E$8+(A13-$H$6)*$H$4)</f>
        <v>3.7</v>
      </c>
      <c r="G13" s="75" t="n">
        <f aca="false">(A13-$H$6)/$B$4</f>
        <v>2.55555555555556</v>
      </c>
      <c r="H13" s="75" t="n">
        <f aca="false">IF(G13&lt;=0,$B$6,($B$6+$B$5)*$B$7+MAX(0,G13-1)*2*$B$5*$B$7+$B$5)</f>
        <v>1.56928695652174</v>
      </c>
      <c r="I13" s="75" t="n">
        <f aca="false">10/C13</f>
        <v>3.97877984084881</v>
      </c>
      <c r="J13" s="75" t="n">
        <f aca="false">H13/C13</f>
        <v>0.624384730711567</v>
      </c>
    </row>
    <row r="14" customFormat="false" ht="15" hidden="false" customHeight="true" outlineLevel="0" collapsed="false">
      <c r="A14" s="71" t="n">
        <v>25</v>
      </c>
      <c r="B14" s="75" t="n">
        <f aca="false">1+($E$5-1)*(A14-$H$6)/($H$7-$H$6)</f>
        <v>0.95</v>
      </c>
      <c r="C14" s="75" t="n">
        <f aca="false">$E$4*B14</f>
        <v>2.47</v>
      </c>
      <c r="D14" s="75" t="n">
        <f aca="false">C14-$E$6</f>
        <v>0.17</v>
      </c>
      <c r="E14" s="75" t="n">
        <f aca="false">IF(D14&gt;0,$E$7/D14,"못 벗어남 · 점프")</f>
        <v>14.1176470588235</v>
      </c>
      <c r="F14" s="75" t="n">
        <f aca="false">MIN($H$5,$E$8+(A14-$H$6)*$H$4)</f>
        <v>3.95</v>
      </c>
      <c r="G14" s="75" t="n">
        <f aca="false">(A14-$H$6)/$B$4</f>
        <v>3.83333333333333</v>
      </c>
      <c r="H14" s="75" t="n">
        <f aca="false">IF(G14&lt;=0,$B$6,($B$6+$B$5)*$B$7+MAX(0,G14-1)*2*$B$5*$B$7+$B$5)</f>
        <v>2.20108695652174</v>
      </c>
      <c r="I14" s="75" t="n">
        <f aca="false">10/C14</f>
        <v>4.04858299595142</v>
      </c>
      <c r="J14" s="75" t="n">
        <f aca="false">H14/C14</f>
        <v>0.891128322478437</v>
      </c>
    </row>
    <row r="15" customFormat="false" ht="15" hidden="false" customHeight="true" outlineLevel="0" collapsed="false">
      <c r="A15" s="71" t="n">
        <v>30</v>
      </c>
      <c r="B15" s="75" t="n">
        <f aca="false">1+($E$5-1)*(A15-$H$6)/($H$7-$H$6)</f>
        <v>0.933333333333333</v>
      </c>
      <c r="C15" s="75" t="n">
        <f aca="false">$E$4*B15</f>
        <v>2.42666666666667</v>
      </c>
      <c r="D15" s="75" t="n">
        <f aca="false">C15-$E$6</f>
        <v>0.126666666666667</v>
      </c>
      <c r="E15" s="75" t="n">
        <f aca="false">IF(D15&gt;0,$E$7/D15,"못 벗어남 · 점프")</f>
        <v>18.9473684210526</v>
      </c>
      <c r="F15" s="75" t="n">
        <f aca="false">MIN($H$5,$E$8+(A15-$H$6)*$H$4)</f>
        <v>4.2</v>
      </c>
      <c r="G15" s="75" t="n">
        <f aca="false">(A15-$H$6)/$B$4</f>
        <v>5.11111111111111</v>
      </c>
      <c r="H15" s="75" t="n">
        <f aca="false">IF(G15&lt;=0,$B$6,($B$6+$B$5)*$B$7+MAX(0,G15-1)*2*$B$5*$B$7+$B$5)</f>
        <v>2.83288695652174</v>
      </c>
      <c r="I15" s="75" t="n">
        <f aca="false">10/C15</f>
        <v>4.12087912087912</v>
      </c>
      <c r="J15" s="75" t="n">
        <f aca="false">H15/C15</f>
        <v>1.16739847109412</v>
      </c>
    </row>
    <row r="16" customFormat="false" ht="15" hidden="false" customHeight="true" outlineLevel="0" collapsed="false">
      <c r="A16" s="71" t="n">
        <v>35</v>
      </c>
      <c r="B16" s="75" t="n">
        <f aca="false">1+($E$5-1)*(A16-$H$6)/($H$7-$H$6)</f>
        <v>0.916666666666667</v>
      </c>
      <c r="C16" s="75" t="n">
        <f aca="false">$E$4*B16</f>
        <v>2.38333333333333</v>
      </c>
      <c r="D16" s="75" t="n">
        <f aca="false">C16-$E$6</f>
        <v>0.0833333333333335</v>
      </c>
      <c r="E16" s="75" t="n">
        <f aca="false">IF(D16&gt;0,$E$7/D16,"못 벗어남 · 점프")</f>
        <v>28.7999999999999</v>
      </c>
      <c r="F16" s="75" t="n">
        <f aca="false">MIN($H$5,$E$8+(A16-$H$6)*$H$4)</f>
        <v>4.45</v>
      </c>
      <c r="G16" s="75" t="n">
        <f aca="false">(A16-$H$6)/$B$4</f>
        <v>6.38888888888889</v>
      </c>
      <c r="H16" s="75" t="n">
        <f aca="false">IF(G16&lt;=0,$B$6,($B$6+$B$5)*$B$7+MAX(0,G16-1)*2*$B$5*$B$7+$B$5)</f>
        <v>3.46468695652174</v>
      </c>
      <c r="I16" s="75" t="n">
        <f aca="false">10/C16</f>
        <v>4.1958041958042</v>
      </c>
      <c r="J16" s="75" t="n">
        <f aca="false">H16/C16</f>
        <v>1.4537148069322</v>
      </c>
    </row>
    <row r="17" customFormat="false" ht="15" hidden="false" customHeight="true" outlineLevel="0" collapsed="false">
      <c r="A17" s="71" t="n">
        <v>40</v>
      </c>
      <c r="B17" s="75" t="n">
        <f aca="false">1+($E$5-1)*(A17-$H$6)/($H$7-$H$6)</f>
        <v>0.9</v>
      </c>
      <c r="C17" s="75" t="n">
        <f aca="false">$E$4*B17</f>
        <v>2.34</v>
      </c>
      <c r="D17" s="75" t="n">
        <f aca="false">C17-$E$6</f>
        <v>0.0400000000000005</v>
      </c>
      <c r="E17" s="75" t="n">
        <f aca="false">IF(D17&gt;0,$E$7/D17,"못 벗어남 · 점프")</f>
        <v>59.9999999999993</v>
      </c>
      <c r="F17" s="75" t="n">
        <f aca="false">MIN($H$5,$E$8+(A17-$H$6)*$H$4)</f>
        <v>4.7</v>
      </c>
      <c r="G17" s="75" t="n">
        <f aca="false">(A17-$H$6)/$B$4</f>
        <v>7.66666666666667</v>
      </c>
      <c r="H17" s="75" t="n">
        <f aca="false">IF(G17&lt;=0,$B$6,($B$6+$B$5)*$B$7+MAX(0,G17-1)*2*$B$5*$B$7+$B$5)</f>
        <v>4.09648695652174</v>
      </c>
      <c r="I17" s="75" t="n">
        <f aca="false">10/C17</f>
        <v>4.27350427350427</v>
      </c>
      <c r="J17" s="75" t="n">
        <f aca="false">H17/C17</f>
        <v>1.75063545150502</v>
      </c>
    </row>
    <row r="18" customFormat="false" ht="15" hidden="false" customHeight="true" outlineLevel="0" collapsed="false">
      <c r="A18" s="71" t="n">
        <v>45</v>
      </c>
      <c r="B18" s="75" t="n">
        <f aca="false">1+($E$5-1)*(A18-$H$6)/($H$7-$H$6)</f>
        <v>0.883333333333333</v>
      </c>
      <c r="C18" s="75" t="n">
        <f aca="false">$E$4*B18</f>
        <v>2.29666666666667</v>
      </c>
      <c r="D18" s="75" t="n">
        <f aca="false">C18-$E$6</f>
        <v>-0.00333333333333297</v>
      </c>
      <c r="E18" s="75" t="str">
        <f aca="false">IF(D18&gt;0,$E$7/D18,"못 벗어남 · 점프")</f>
        <v>못 벗어남 · 점프</v>
      </c>
      <c r="F18" s="75" t="n">
        <f aca="false">MIN($H$5,$E$8+(A18-$H$6)*$H$4)</f>
        <v>4.95</v>
      </c>
      <c r="G18" s="75" t="n">
        <f aca="false">(A18-$H$6)/$B$4</f>
        <v>8.94444444444445</v>
      </c>
      <c r="H18" s="75" t="n">
        <f aca="false">IF(G18&lt;=0,$B$6,($B$6+$B$5)*$B$7+MAX(0,G18-1)*2*$B$5*$B$7+$B$5)</f>
        <v>4.72828695652174</v>
      </c>
      <c r="I18" s="75" t="n">
        <f aca="false">10/C18</f>
        <v>4.35413642960813</v>
      </c>
      <c r="J18" s="75" t="n">
        <f aca="false">H18/C18</f>
        <v>2.05876064870323</v>
      </c>
    </row>
    <row r="19" customFormat="false" ht="15" hidden="false" customHeight="true" outlineLevel="0" collapsed="false">
      <c r="A19" s="71" t="n">
        <v>50</v>
      </c>
      <c r="B19" s="75" t="n">
        <f aca="false">1+($E$5-1)*(A19-$H$6)/($H$7-$H$6)</f>
        <v>0.866666666666667</v>
      </c>
      <c r="C19" s="75" t="n">
        <f aca="false">$E$4*B19</f>
        <v>2.25333333333333</v>
      </c>
      <c r="D19" s="75" t="n">
        <f aca="false">C19-$E$6</f>
        <v>-0.0466666666666664</v>
      </c>
      <c r="E19" s="75" t="str">
        <f aca="false">IF(D19&gt;0,$E$7/D19,"못 벗어남 · 점프")</f>
        <v>못 벗어남 · 점프</v>
      </c>
      <c r="F19" s="75" t="n">
        <f aca="false">MIN($H$5,$E$8+(A19-$H$6)*$H$4)</f>
        <v>5.2</v>
      </c>
      <c r="G19" s="75" t="n">
        <f aca="false">(A19-$H$6)/$B$4</f>
        <v>10.2222222222222</v>
      </c>
      <c r="H19" s="75" t="n">
        <f aca="false">IF(G19&lt;=0,$B$6,($B$6+$B$5)*$B$7+MAX(0,G19-1)*2*$B$5*$B$7+$B$5)</f>
        <v>5.36008695652174</v>
      </c>
      <c r="I19" s="75" t="n">
        <f aca="false">10/C19</f>
        <v>4.43786982248521</v>
      </c>
      <c r="J19" s="75" t="n">
        <f aca="false">H19/C19</f>
        <v>2.37873681502444</v>
      </c>
    </row>
    <row r="20" customFormat="false" ht="15" hidden="false" customHeight="true" outlineLevel="0" collapsed="false">
      <c r="A20" s="71" t="n">
        <v>55</v>
      </c>
      <c r="B20" s="75" t="n">
        <f aca="false">1+($E$5-1)*(A20-$H$6)/($H$7-$H$6)</f>
        <v>0.85</v>
      </c>
      <c r="C20" s="75" t="n">
        <f aca="false">$E$4*B20</f>
        <v>2.21</v>
      </c>
      <c r="D20" s="75" t="n">
        <f aca="false">C20-$E$6</f>
        <v>-0.0899999999999999</v>
      </c>
      <c r="E20" s="75" t="str">
        <f aca="false">IF(D20&gt;0,$E$7/D20,"못 벗어남 · 점프")</f>
        <v>못 벗어남 · 점프</v>
      </c>
      <c r="F20" s="75" t="n">
        <f aca="false">MIN($H$5,$E$8+(A20-$H$6)*$H$4)</f>
        <v>5.45</v>
      </c>
      <c r="G20" s="75" t="n">
        <f aca="false">(A20-$H$6)/$B$4</f>
        <v>11.5</v>
      </c>
      <c r="H20" s="75" t="n">
        <f aca="false">IF(G20&lt;=0,$B$6,($B$6+$B$5)*$B$7+MAX(0,G20-1)*2*$B$5*$B$7+$B$5)</f>
        <v>5.99188695652174</v>
      </c>
      <c r="I20" s="75" t="n">
        <f aca="false">10/C20</f>
        <v>4.52488687782805</v>
      </c>
      <c r="J20" s="75" t="n">
        <f aca="false">H20/C20</f>
        <v>2.71126106629943</v>
      </c>
    </row>
    <row r="21" customFormat="false" ht="15" hidden="false" customHeight="true" outlineLevel="0" collapsed="false">
      <c r="A21" s="71" t="n">
        <v>60</v>
      </c>
      <c r="B21" s="75" t="n">
        <f aca="false">1+($E$5-1)*(A21-$H$6)/($H$7-$H$6)</f>
        <v>0.833333333333333</v>
      </c>
      <c r="C21" s="75" t="n">
        <f aca="false">$E$4*B21</f>
        <v>2.16666666666667</v>
      </c>
      <c r="D21" s="75" t="n">
        <f aca="false">C21-$E$6</f>
        <v>-0.133333333333333</v>
      </c>
      <c r="E21" s="75" t="str">
        <f aca="false">IF(D21&gt;0,$E$7/D21,"못 벗어남 · 점프")</f>
        <v>못 벗어남 · 점프</v>
      </c>
      <c r="F21" s="75" t="n">
        <f aca="false">MIN($H$5,$E$8+(A21-$H$6)*$H$4)</f>
        <v>5.7</v>
      </c>
      <c r="G21" s="75" t="n">
        <f aca="false">(A21-$H$6)/$B$4</f>
        <v>12.7777777777778</v>
      </c>
      <c r="H21" s="75" t="n">
        <f aca="false">IF(G21&lt;=0,$B$6,($B$6+$B$5)*$B$7+MAX(0,G21-1)*2*$B$5*$B$7+$B$5)</f>
        <v>6.62368695652174</v>
      </c>
      <c r="I21" s="75" t="n">
        <f aca="false">10/C21</f>
        <v>4.61538461538462</v>
      </c>
      <c r="J21" s="75" t="n">
        <f aca="false">H21/C21</f>
        <v>3.05708628762542</v>
      </c>
    </row>
    <row r="22" customFormat="false" ht="15" hidden="false" customHeight="true" outlineLevel="0" collapsed="false">
      <c r="A22" s="71" t="n">
        <v>65</v>
      </c>
      <c r="B22" s="75" t="n">
        <f aca="false">1+($E$5-1)*(A22-$H$6)/($H$7-$H$6)</f>
        <v>0.816666666666667</v>
      </c>
      <c r="C22" s="75" t="n">
        <f aca="false">$E$4*B22</f>
        <v>2.12333333333333</v>
      </c>
      <c r="D22" s="75" t="n">
        <f aca="false">C22-$E$6</f>
        <v>-0.176666666666666</v>
      </c>
      <c r="E22" s="75" t="str">
        <f aca="false">IF(D22&gt;0,$E$7/D22,"못 벗어남 · 점프")</f>
        <v>못 벗어남 · 점프</v>
      </c>
      <c r="F22" s="75" t="n">
        <f aca="false">MIN($H$5,$E$8+(A22-$H$6)*$H$4)</f>
        <v>5.95</v>
      </c>
      <c r="G22" s="75" t="n">
        <f aca="false">(A22-$H$6)/$B$4</f>
        <v>14.0555555555556</v>
      </c>
      <c r="H22" s="75" t="n">
        <f aca="false">IF(G22&lt;=0,$B$6,($B$6+$B$5)*$B$7+MAX(0,G22-1)*2*$B$5*$B$7+$B$5)</f>
        <v>7.25548695652174</v>
      </c>
      <c r="I22" s="75" t="n">
        <f aca="false">10/C22</f>
        <v>4.70957613814757</v>
      </c>
      <c r="J22" s="75" t="n">
        <f aca="false">H22/C22</f>
        <v>3.41702682410757</v>
      </c>
    </row>
    <row r="23" customFormat="false" ht="15" hidden="false" customHeight="true" outlineLevel="0" collapsed="false">
      <c r="A23" s="71" t="n">
        <v>70</v>
      </c>
      <c r="B23" s="75" t="n">
        <f aca="false">1+($E$5-1)*(A23-$H$6)/($H$7-$H$6)</f>
        <v>0.8</v>
      </c>
      <c r="C23" s="75" t="n">
        <f aca="false">$E$4*B23</f>
        <v>2.08</v>
      </c>
      <c r="D23" s="75" t="n">
        <f aca="false">C23-$E$6</f>
        <v>-0.22</v>
      </c>
      <c r="E23" s="75" t="str">
        <f aca="false">IF(D23&gt;0,$E$7/D23,"못 벗어남 · 점프")</f>
        <v>못 벗어남 · 점프</v>
      </c>
      <c r="F23" s="75" t="n">
        <f aca="false">MIN($H$5,$E$8+(A23-$H$6)*$H$4)</f>
        <v>6.2</v>
      </c>
      <c r="G23" s="75" t="n">
        <f aca="false">(A23-$H$6)/$B$4</f>
        <v>15.3333333333333</v>
      </c>
      <c r="H23" s="75" t="n">
        <f aca="false">IF(G23&lt;=0,$B$6,($B$6+$B$5)*$B$7+MAX(0,G23-1)*2*$B$5*$B$7+$B$5)</f>
        <v>7.88728695652174</v>
      </c>
      <c r="I23" s="75" t="n">
        <f aca="false">10/C23</f>
        <v>4.80769230769231</v>
      </c>
      <c r="J23" s="75" t="n">
        <f aca="false">H23/C23</f>
        <v>3.79196488294314</v>
      </c>
    </row>
    <row r="24" customFormat="false" ht="15" hidden="false" customHeight="true" outlineLevel="0" collapsed="false">
      <c r="A24" s="71" t="n">
        <v>75</v>
      </c>
      <c r="B24" s="75" t="n">
        <f aca="false">1+($E$5-1)*(A24-$H$6)/($H$7-$H$6)</f>
        <v>0.783333333333333</v>
      </c>
      <c r="C24" s="75" t="n">
        <f aca="false">$E$4*B24</f>
        <v>2.03666666666667</v>
      </c>
      <c r="D24" s="75" t="n">
        <f aca="false">C24-$E$6</f>
        <v>-0.263333333333333</v>
      </c>
      <c r="E24" s="75" t="str">
        <f aca="false">IF(D24&gt;0,$E$7/D24,"못 벗어남 · 점프")</f>
        <v>못 벗어남 · 점프</v>
      </c>
      <c r="F24" s="75" t="n">
        <f aca="false">MIN($H$5,$E$8+(A24-$H$6)*$H$4)</f>
        <v>6.45</v>
      </c>
      <c r="G24" s="75" t="n">
        <f aca="false">(A24-$H$6)/$B$4</f>
        <v>16.6111111111111</v>
      </c>
      <c r="H24" s="75" t="n">
        <f aca="false">IF(G24&lt;=0,$B$6,($B$6+$B$5)*$B$7+MAX(0,G24-1)*2*$B$5*$B$7+$B$5)</f>
        <v>8.51908695652174</v>
      </c>
      <c r="I24" s="75" t="n">
        <f aca="false">10/C24</f>
        <v>4.90998363338789</v>
      </c>
      <c r="J24" s="75" t="n">
        <f aca="false">H24/C24</f>
        <v>4.182857752793</v>
      </c>
    </row>
    <row r="25" customFormat="false" ht="15" hidden="false" customHeight="true" outlineLevel="0" collapsed="false">
      <c r="A25" s="71" t="n">
        <v>80</v>
      </c>
      <c r="B25" s="75" t="n">
        <f aca="false">1+($E$5-1)*(A25-$H$6)/($H$7-$H$6)</f>
        <v>0.766666666666667</v>
      </c>
      <c r="C25" s="75" t="n">
        <f aca="false">$E$4*B25</f>
        <v>1.99333333333333</v>
      </c>
      <c r="D25" s="75" t="n">
        <f aca="false">C25-$E$6</f>
        <v>-0.306666666666667</v>
      </c>
      <c r="E25" s="75" t="str">
        <f aca="false">IF(D25&gt;0,$E$7/D25,"못 벗어남 · 점프")</f>
        <v>못 벗어남 · 점프</v>
      </c>
      <c r="F25" s="75" t="n">
        <f aca="false">MIN($H$5,$E$8+(A25-$H$6)*$H$4)</f>
        <v>6.7</v>
      </c>
      <c r="G25" s="75" t="n">
        <f aca="false">(A25-$H$6)/$B$4</f>
        <v>17.8888888888889</v>
      </c>
      <c r="H25" s="75" t="n">
        <f aca="false">IF(G25&lt;=0,$B$6,($B$6+$B$5)*$B$7+MAX(0,G25-1)*2*$B$5*$B$7+$B$5)</f>
        <v>9.15088695652174</v>
      </c>
      <c r="I25" s="75" t="n">
        <f aca="false">10/C25</f>
        <v>5.01672240802676</v>
      </c>
      <c r="J25" s="75" t="n">
        <f aca="false">H25/C25</f>
        <v>4.59074596481024</v>
      </c>
    </row>
    <row r="26" customFormat="false" ht="15" hidden="false" customHeight="true" outlineLevel="0" collapsed="false">
      <c r="A26" s="71" t="n">
        <v>85</v>
      </c>
      <c r="B26" s="75" t="n">
        <f aca="false">1+($E$5-1)*(A26-$H$6)/($H$7-$H$6)</f>
        <v>0.75</v>
      </c>
      <c r="C26" s="75" t="n">
        <f aca="false">$E$4*B26</f>
        <v>1.95</v>
      </c>
      <c r="D26" s="75" t="n">
        <f aca="false">C26-$E$6</f>
        <v>-0.35</v>
      </c>
      <c r="E26" s="75" t="str">
        <f aca="false">IF(D26&gt;0,$E$7/D26,"못 벗어남 · 점프")</f>
        <v>못 벗어남 · 점프</v>
      </c>
      <c r="F26" s="75" t="n">
        <f aca="false">MIN($H$5,$E$8+(A26-$H$6)*$H$4)</f>
        <v>6.95</v>
      </c>
      <c r="G26" s="75" t="n">
        <f aca="false">(A26-$H$6)/$B$4</f>
        <v>19.1666666666667</v>
      </c>
      <c r="H26" s="75" t="n">
        <f aca="false">IF(G26&lt;=0,$B$6,($B$6+$B$5)*$B$7+MAX(0,G26-1)*2*$B$5*$B$7+$B$5)</f>
        <v>9.78268695652174</v>
      </c>
      <c r="I26" s="75" t="n">
        <f aca="false">10/C26</f>
        <v>5.12820512820513</v>
      </c>
      <c r="J26" s="75" t="n">
        <f aca="false">H26/C26</f>
        <v>5.01676254180602</v>
      </c>
    </row>
    <row r="27" customFormat="false" ht="15" hidden="false" customHeight="true" outlineLevel="0" collapsed="false">
      <c r="A27" s="71" t="n">
        <v>90</v>
      </c>
      <c r="B27" s="75" t="n">
        <f aca="false">1+($E$5-1)*(A27-$H$6)/($H$7-$H$6)</f>
        <v>0.733333333333333</v>
      </c>
      <c r="C27" s="75" t="n">
        <f aca="false">$E$4*B27</f>
        <v>1.90666666666667</v>
      </c>
      <c r="D27" s="75" t="n">
        <f aca="false">C27-$E$6</f>
        <v>-0.393333333333333</v>
      </c>
      <c r="E27" s="75" t="str">
        <f aca="false">IF(D27&gt;0,$E$7/D27,"못 벗어남 · 점프")</f>
        <v>못 벗어남 · 점프</v>
      </c>
      <c r="F27" s="75" t="n">
        <f aca="false">MIN($H$5,$E$8+(A27-$H$6)*$H$4)</f>
        <v>7.2</v>
      </c>
      <c r="G27" s="75" t="n">
        <f aca="false">(A27-$H$6)/$B$4</f>
        <v>20.4444444444444</v>
      </c>
      <c r="H27" s="75" t="n">
        <f aca="false">IF(G27&lt;=0,$B$6,($B$6+$B$5)*$B$7+MAX(0,G27-1)*2*$B$5*$B$7+$B$5)</f>
        <v>10.4144869565217</v>
      </c>
      <c r="I27" s="75" t="n">
        <f aca="false">10/C27</f>
        <v>5.24475524475525</v>
      </c>
      <c r="J27" s="75" t="n">
        <f aca="false">H27/C27</f>
        <v>5.46214350866525</v>
      </c>
    </row>
    <row r="28" customFormat="false" ht="15" hidden="false" customHeight="true" outlineLevel="0" collapsed="false">
      <c r="A28" s="71" t="n">
        <v>95</v>
      </c>
      <c r="B28" s="75" t="n">
        <f aca="false">1+($E$5-1)*(A28-$H$6)/($H$7-$H$6)</f>
        <v>0.716666666666667</v>
      </c>
      <c r="C28" s="75" t="n">
        <f aca="false">$E$4*B28</f>
        <v>1.86333333333333</v>
      </c>
      <c r="D28" s="75" t="n">
        <f aca="false">C28-$E$6</f>
        <v>-0.436666666666667</v>
      </c>
      <c r="E28" s="75" t="str">
        <f aca="false">IF(D28&gt;0,$E$7/D28,"못 벗어남 · 점프")</f>
        <v>못 벗어남 · 점프</v>
      </c>
      <c r="F28" s="75" t="n">
        <f aca="false">MIN($H$5,$E$8+(A28-$H$6)*$H$4)</f>
        <v>7.45</v>
      </c>
      <c r="G28" s="75" t="n">
        <f aca="false">(A28-$H$6)/$B$4</f>
        <v>21.7222222222222</v>
      </c>
      <c r="H28" s="75" t="n">
        <f aca="false">IF(G28&lt;=0,$B$6,($B$6+$B$5)*$B$7+MAX(0,G28-1)*2*$B$5*$B$7+$B$5)</f>
        <v>11.0462869565217</v>
      </c>
      <c r="I28" s="75" t="n">
        <f aca="false">10/C28</f>
        <v>5.36672629695886</v>
      </c>
      <c r="J28" s="75" t="n">
        <f aca="false">H28/C28</f>
        <v>5.92823986933188</v>
      </c>
    </row>
    <row r="29" customFormat="false" ht="15" hidden="false" customHeight="true" outlineLevel="0" collapsed="false">
      <c r="A29" s="71" t="n">
        <v>100</v>
      </c>
      <c r="B29" s="75" t="n">
        <f aca="false">1+($E$5-1)*(A29-$H$6)/($H$7-$H$6)</f>
        <v>0.7</v>
      </c>
      <c r="C29" s="75" t="n">
        <f aca="false">$E$4*B29</f>
        <v>1.82</v>
      </c>
      <c r="D29" s="75" t="n">
        <f aca="false">C29-$E$6</f>
        <v>-0.48</v>
      </c>
      <c r="E29" s="75" t="str">
        <f aca="false">IF(D29&gt;0,$E$7/D29,"못 벗어남 · 점프")</f>
        <v>못 벗어남 · 점프</v>
      </c>
      <c r="F29" s="75" t="n">
        <f aca="false">MIN($H$5,$E$8+(A29-$H$6)*$H$4)</f>
        <v>7.5</v>
      </c>
      <c r="G29" s="75" t="n">
        <f aca="false">(A29-$H$6)/$B$4</f>
        <v>23</v>
      </c>
      <c r="H29" s="75" t="n">
        <f aca="false">IF(G29&lt;=0,$B$6,($B$6+$B$5)*$B$7+MAX(0,G29-1)*2*$B$5*$B$7+$B$5)</f>
        <v>11.6780869565217</v>
      </c>
      <c r="I29" s="75" t="n">
        <f aca="false">10/C29</f>
        <v>5.4945054945055</v>
      </c>
      <c r="J29" s="75" t="n">
        <f aca="false">H29/C29</f>
        <v>6.41653129479217</v>
      </c>
    </row>
    <row r="30" customFormat="false" ht="15" hidden="false" customHeight="fals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customFormat="false" ht="15" hidden="false" customHeight="true" outlineLevel="0" collapsed="false">
      <c r="A31" s="46" t="s">
        <v>928</v>
      </c>
      <c r="B31" s="43"/>
      <c r="C31" s="43"/>
      <c r="D31" s="43"/>
      <c r="E31" s="43"/>
      <c r="F31" s="43"/>
      <c r="G31" s="43"/>
      <c r="H31" s="43"/>
      <c r="I31" s="43"/>
      <c r="J31" s="43"/>
    </row>
    <row r="32" customFormat="false" ht="15" hidden="false" customHeight="true" outlineLevel="0" collapsed="false">
      <c r="A32" s="46" t="s">
        <v>929</v>
      </c>
      <c r="B32" s="43"/>
      <c r="C32" s="43"/>
      <c r="D32" s="43"/>
      <c r="E32" s="43"/>
      <c r="F32" s="43"/>
      <c r="G32" s="43"/>
      <c r="H32" s="43"/>
      <c r="I32" s="43"/>
      <c r="J32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7" min="4" style="1" width="13"/>
    <col collapsed="false" customWidth="true" hidden="false" outlineLevel="0" max="8" min="8" style="1" width="26"/>
    <col collapsed="false" customWidth="true" hidden="false" outlineLevel="0" max="9" min="9" style="1" width="30"/>
    <col collapsed="false" customWidth="true" hidden="false" outlineLevel="0" max="10" min="10" style="1" width="40"/>
  </cols>
  <sheetData>
    <row r="1" customFormat="false" ht="18.75" hidden="false" customHeight="true" outlineLevel="0" collapsed="false">
      <c r="A1" s="72" t="s">
        <v>930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30" hidden="false" customHeight="true" outlineLevel="0" collapsed="false">
      <c r="A2" s="76" t="s">
        <v>931</v>
      </c>
      <c r="B2" s="76"/>
      <c r="C2" s="76"/>
      <c r="D2" s="76"/>
      <c r="E2" s="76"/>
      <c r="F2" s="76"/>
      <c r="G2" s="76"/>
      <c r="H2" s="76"/>
      <c r="I2" s="76"/>
      <c r="J2" s="76"/>
    </row>
    <row r="3" customFormat="false" ht="15" hidden="false" customHeight="fals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</row>
    <row r="4" customFormat="false" ht="30" hidden="false" customHeight="true" outlineLevel="0" collapsed="false">
      <c r="A4" s="44" t="s">
        <v>932</v>
      </c>
      <c r="B4" s="44" t="s">
        <v>933</v>
      </c>
      <c r="C4" s="44" t="s">
        <v>934</v>
      </c>
      <c r="D4" s="44" t="s">
        <v>935</v>
      </c>
      <c r="E4" s="44" t="s">
        <v>936</v>
      </c>
      <c r="F4" s="44" t="s">
        <v>937</v>
      </c>
      <c r="G4" s="54" t="s">
        <v>938</v>
      </c>
      <c r="H4" s="44" t="s">
        <v>939</v>
      </c>
      <c r="I4" s="44" t="s">
        <v>940</v>
      </c>
      <c r="J4" s="44" t="s">
        <v>941</v>
      </c>
    </row>
    <row r="5" customFormat="false" ht="15" hidden="false" customHeight="true" outlineLevel="0" collapsed="false">
      <c r="A5" s="55" t="s">
        <v>942</v>
      </c>
      <c r="B5" s="77" t="n">
        <f aca="false">INDEX(조정값!$G$2:$G$170,MATCH("STF_WARN",조정값!$A$2:$A$170,0))</f>
        <v>1.5</v>
      </c>
      <c r="C5" s="77" t="n">
        <f aca="false">INDEX(조정값!$G$2:$G$170,MATCH("STF_FOOT_L",조정값!$A$2:$A$170,0))</f>
        <v>1.6</v>
      </c>
      <c r="D5" s="75" t="n">
        <f aca="false">(C5+INDEX(길이별수치!$H$11:$H$29,MATCH(10,길이별수치!$A$11:$A$29,0)))/INDEX(길이별수치!$C$11:$C$29,MATCH(10,길이별수치!$A$11:$A$29,0))</f>
        <v>0.730769230769231</v>
      </c>
      <c r="E5" s="75" t="n">
        <f aca="false">(C5+INDEX(길이별수치!$H$11:$H$29,MATCH(50,길이별수치!$A$11:$A$29,0)))/INDEX(길이별수치!$C$11:$C$29,MATCH(50,길이별수치!$A$11:$A$29,0))</f>
        <v>3.08879598662207</v>
      </c>
      <c r="F5" s="75" t="n">
        <f aca="false">(C5+INDEX(길이별수치!$H$11:$H$29,MATCH(100,길이별수치!$A$11:$A$29,0)))/INDEX(길이별수치!$C$11:$C$29,MATCH(100,길이별수치!$A$11:$A$29,0))</f>
        <v>7.29565217391304</v>
      </c>
      <c r="G5" s="75" t="n">
        <f aca="false">B5-F5</f>
        <v>-5.79565217391304</v>
      </c>
      <c r="H5" s="21" t="str">
        <f aca="false">IF(G5&gt;=0,"100cm도 피할 수 있음","예고 부족 · 꼬리 일부 손실")</f>
        <v>예고 부족 · 꼬리 일부 손실</v>
      </c>
      <c r="I5" s="21" t="s">
        <v>943</v>
      </c>
      <c r="J5" s="18" t="s">
        <v>944</v>
      </c>
    </row>
    <row r="6" customFormat="false" ht="29.25" hidden="false" customHeight="true" outlineLevel="0" collapsed="false">
      <c r="A6" s="55" t="s">
        <v>381</v>
      </c>
      <c r="B6" s="77" t="n">
        <f aca="false">INDEX(조정값!$G$2:$G$170,MATCH("FST_WARN",조정값!$A$2:$A$170,0))</f>
        <v>0.5</v>
      </c>
      <c r="C6" s="77" t="n">
        <f aca="false">1.6+2*INDEX(조정값!$G$2:$G$170,MATCH("FST_ZONE_MARGIN",조정값!$A$2:$A$170,0))</f>
        <v>3.6</v>
      </c>
      <c r="D6" s="75" t="n">
        <f aca="false">(C6+INDEX(길이별수치!$H$11:$H$29,MATCH(10,길이별수치!$A$11:$A$29,0)))/INDEX(길이별수치!$C$11:$C$29,MATCH(10,길이별수치!$A$11:$A$29,0))</f>
        <v>1.5</v>
      </c>
      <c r="E6" s="75" t="n">
        <f aca="false">(C6+INDEX(길이별수치!$H$11:$H$29,MATCH(50,길이별수치!$A$11:$A$29,0)))/INDEX(길이별수치!$C$11:$C$29,MATCH(50,길이별수치!$A$11:$A$29,0))</f>
        <v>3.97636995111911</v>
      </c>
      <c r="F6" s="75" t="n">
        <f aca="false">(C6+INDEX(길이별수치!$H$11:$H$29,MATCH(100,길이별수치!$A$11:$A$29,0)))/INDEX(길이별수치!$C$11:$C$29,MATCH(100,길이별수치!$A$11:$A$29,0))</f>
        <v>8.39455327281414</v>
      </c>
      <c r="G6" s="75" t="n">
        <f aca="false">B6-F6</f>
        <v>-7.89455327281414</v>
      </c>
      <c r="H6" s="21" t="str">
        <f aca="false">IF(G6&gt;=0,"100cm도 피할 수 있음","예고 부족 · 꼬리 일부 손실")</f>
        <v>예고 부족 · 꼬리 일부 손실</v>
      </c>
      <c r="I6" s="21" t="s">
        <v>945</v>
      </c>
      <c r="J6" s="18" t="s">
        <v>946</v>
      </c>
    </row>
    <row r="7" customFormat="false" ht="29.25" hidden="false" customHeight="true" outlineLevel="0" collapsed="false">
      <c r="A7" s="55" t="s">
        <v>455</v>
      </c>
      <c r="B7" s="77" t="n">
        <f aca="false">INDEX(조정값!$G$2:$G$170,MATCH("FRT_WARN",조정값!$A$2:$A$170,0))</f>
        <v>1</v>
      </c>
      <c r="C7" s="77" t="n">
        <f aca="false">INDEX(조정값!$G$2:$G$170,MATCH("FRT_LANE_W",조정값!$A$2:$A$170,0))</f>
        <v>1.2</v>
      </c>
      <c r="D7" s="75" t="n">
        <f aca="false">(C7+INDEX(길이별수치!$H$11:$H$29,MATCH(10,길이별수치!$A$11:$A$29,0)))/INDEX(길이별수치!$C$11:$C$29,MATCH(10,길이별수치!$A$11:$A$29,0))</f>
        <v>0.576923076923077</v>
      </c>
      <c r="E7" s="75" t="n">
        <f aca="false">(C7+INDEX(길이별수치!$H$11:$H$29,MATCH(50,길이별수치!$A$11:$A$29,0)))/INDEX(길이별수치!$C$11:$C$29,MATCH(50,길이별수치!$A$11:$A$29,0))</f>
        <v>2.91128119372267</v>
      </c>
      <c r="F7" s="75" t="n">
        <f aca="false">(C7+INDEX(길이별수치!$H$11:$H$29,MATCH(100,길이별수치!$A$11:$A$29,0)))/INDEX(길이별수치!$C$11:$C$29,MATCH(100,길이별수치!$A$11:$A$29,0))</f>
        <v>7.07587195413282</v>
      </c>
      <c r="G7" s="75" t="n">
        <f aca="false">B7-F7</f>
        <v>-6.07587195413282</v>
      </c>
      <c r="H7" s="21" t="str">
        <f aca="false">IF(G7&gt;=0,"100cm도 피할 수 있음","예고 부족 · 꼬리 일부 손실")</f>
        <v>예고 부족 · 꼬리 일부 손실</v>
      </c>
      <c r="I7" s="21" t="s">
        <v>947</v>
      </c>
      <c r="J7" s="18" t="s">
        <v>948</v>
      </c>
    </row>
    <row r="8" customFormat="false" ht="15" hidden="false" customHeight="true" outlineLevel="0" collapsed="false">
      <c r="A8" s="55" t="s">
        <v>949</v>
      </c>
      <c r="B8" s="77" t="n">
        <f aca="false">INDEX(조정값!$G$2:$G$170,MATCH("VAC_PULL_RAMP",조정값!$A$2:$A$170,0))</f>
        <v>1.5</v>
      </c>
      <c r="C8" s="77" t="n">
        <f aca="false">INDEX(조정값!$G$2:$G$170,MATCH("VAC_ZONE_L",조정값!$A$2:$A$170,0))</f>
        <v>2.4</v>
      </c>
      <c r="D8" s="75" t="n">
        <f aca="false">IF(INDEX(길이별수치!$D$11:$D$29,MATCH(10,길이별수치!$A$11:$A$29,0))&gt;0,C8/INDEX(길이별수치!$D$11:$D$29,MATCH(10,길이별수치!$A$11:$A$29,0)),999)</f>
        <v>7.99999999999999</v>
      </c>
      <c r="E8" s="75" t="n">
        <f aca="false">IF(INDEX(길이별수치!$D$11:$D$29,MATCH(50,길이별수치!$A$11:$A$29,0))&gt;0,C8/INDEX(길이별수치!$D$11:$D$29,MATCH(50,길이별수치!$A$11:$A$29,0)),999)</f>
        <v>999</v>
      </c>
      <c r="F8" s="75" t="n">
        <f aca="false">IF(INDEX(길이별수치!$D$11:$D$29,MATCH(100,길이별수치!$A$11:$A$29,0))&gt;0,C8/INDEX(길이별수치!$D$11:$D$29,MATCH(100,길이별수치!$A$11:$A$29,0)),999)</f>
        <v>999</v>
      </c>
      <c r="G8" s="75" t="str">
        <f aca="false">IF(F8&lt;999,B8-F8,"—")</f>
        <v>—</v>
      </c>
      <c r="H8" s="21" t="str">
        <f aca="false">IF(F8&lt;999,"걸어서 탈출 가능","걸어서는 못 벗어남 · 점프 또는 붙잡힌 뒤 탈출")</f>
        <v>걸어서는 못 벗어남 · 점프 또는 붙잡힌 뒤 탈출</v>
      </c>
      <c r="I8" s="21" t="s">
        <v>950</v>
      </c>
      <c r="J8" s="18" t="s">
        <v>951</v>
      </c>
    </row>
    <row r="9" customFormat="false" ht="29.25" hidden="false" customHeight="true" outlineLevel="0" collapsed="false">
      <c r="A9" s="55"/>
      <c r="B9" s="77"/>
      <c r="C9" s="77"/>
      <c r="D9" s="75"/>
      <c r="E9" s="75"/>
      <c r="F9" s="75"/>
      <c r="G9" s="75"/>
      <c r="H9" s="21"/>
      <c r="I9" s="21"/>
      <c r="J9" s="21"/>
    </row>
    <row r="10" customFormat="false" ht="15" hidden="false" customHeight="false" outlineLevel="0" collapsed="false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customFormat="false" ht="15" hidden="false" customHeight="true" outlineLevel="0" collapsed="false">
      <c r="A11" s="46" t="s">
        <v>952</v>
      </c>
      <c r="B11" s="43"/>
      <c r="C11" s="43"/>
      <c r="D11" s="43"/>
      <c r="E11" s="43"/>
      <c r="F11" s="43"/>
      <c r="G11" s="43"/>
      <c r="H11" s="43"/>
      <c r="I11" s="43"/>
      <c r="J11" s="43"/>
    </row>
  </sheetData>
  <mergeCells count="1">
    <mergeCell ref="A2:J2"/>
  </mergeCells>
  <conditionalFormatting sqref="G5:G8">
    <cfRule type="expression" priority="2" aboveAverage="0" equalAverage="0" bottom="0" percent="0" rank="0" text="" dxfId="8">
      <formula>G5&lt;0</formula>
    </cfRule>
    <cfRule type="expression" priority="3" aboveAverage="0" equalAverage="0" bottom="0" percent="0" rank="0" text="" dxfId="11">
      <formula>G5&gt;=0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5" min="4" style="1" width="10"/>
    <col collapsed="false" customWidth="true" hidden="false" outlineLevel="0" max="6" min="6" style="1" width="60"/>
    <col collapsed="false" customWidth="true" hidden="false" outlineLevel="0" max="7" min="7" style="1" width="10"/>
  </cols>
  <sheetData>
    <row r="1" customFormat="false" ht="30" hidden="false" customHeight="true" outlineLevel="0" collapsed="false">
      <c r="A1" s="44" t="s">
        <v>953</v>
      </c>
      <c r="B1" s="44" t="s">
        <v>954</v>
      </c>
      <c r="C1" s="54" t="s">
        <v>44</v>
      </c>
      <c r="D1" s="44" t="s">
        <v>955</v>
      </c>
      <c r="E1" s="44" t="s">
        <v>956</v>
      </c>
      <c r="F1" s="44" t="s">
        <v>957</v>
      </c>
      <c r="G1" s="44" t="s">
        <v>958</v>
      </c>
    </row>
    <row r="2" customFormat="false" ht="29.25" hidden="false" customHeight="true" outlineLevel="0" collapsed="false">
      <c r="A2" s="16" t="s">
        <v>959</v>
      </c>
      <c r="B2" s="16" t="s">
        <v>960</v>
      </c>
      <c r="C2" s="16" t="s">
        <v>961</v>
      </c>
      <c r="D2" s="16"/>
      <c r="E2" s="16"/>
      <c r="F2" s="18" t="s">
        <v>962</v>
      </c>
      <c r="G2" s="17" t="s">
        <v>963</v>
      </c>
    </row>
    <row r="3" customFormat="false" ht="29.25" hidden="false" customHeight="true" outlineLevel="0" collapsed="false">
      <c r="A3" s="16" t="s">
        <v>959</v>
      </c>
      <c r="B3" s="16" t="s">
        <v>960</v>
      </c>
      <c r="C3" s="16" t="s">
        <v>646</v>
      </c>
      <c r="D3" s="16" t="n">
        <v>1.9</v>
      </c>
      <c r="E3" s="16" t="n">
        <v>1.6</v>
      </c>
      <c r="F3" s="18" t="s">
        <v>964</v>
      </c>
      <c r="G3" s="17" t="s">
        <v>963</v>
      </c>
    </row>
    <row r="4" customFormat="false" ht="44" hidden="false" customHeight="false" outlineLevel="0" collapsed="false">
      <c r="A4" s="31" t="s">
        <v>965</v>
      </c>
      <c r="B4" s="31" t="s">
        <v>966</v>
      </c>
      <c r="C4" s="31" t="s">
        <v>961</v>
      </c>
      <c r="D4" s="31"/>
      <c r="E4" s="31"/>
      <c r="F4" s="36" t="s">
        <v>967</v>
      </c>
      <c r="G4" s="32" t="s">
        <v>963</v>
      </c>
    </row>
    <row r="5" customFormat="false" ht="15" hidden="false" customHeight="false" outlineLevel="0" collapsed="false">
      <c r="A5" s="31" t="s">
        <v>965</v>
      </c>
      <c r="B5" s="31" t="s">
        <v>966</v>
      </c>
      <c r="C5" s="31" t="s">
        <v>968</v>
      </c>
      <c r="D5" s="31" t="s">
        <v>969</v>
      </c>
      <c r="E5" s="32" t="s">
        <v>38</v>
      </c>
      <c r="F5" s="35" t="s">
        <v>970</v>
      </c>
      <c r="G5" s="32" t="s">
        <v>963</v>
      </c>
    </row>
    <row r="6" customFormat="false" ht="15" hidden="false" customHeight="false" outlineLevel="0" collapsed="false">
      <c r="A6" s="31" t="s">
        <v>965</v>
      </c>
      <c r="B6" s="31" t="s">
        <v>966</v>
      </c>
      <c r="C6" s="31" t="s">
        <v>971</v>
      </c>
      <c r="D6" s="31" t="s">
        <v>633</v>
      </c>
      <c r="E6" s="31" t="s">
        <v>972</v>
      </c>
      <c r="F6" s="36" t="s">
        <v>973</v>
      </c>
      <c r="G6" s="32" t="s">
        <v>963</v>
      </c>
    </row>
    <row r="7" customFormat="false" ht="15" hidden="false" customHeight="false" outlineLevel="0" collapsed="false">
      <c r="A7" s="31" t="s">
        <v>965</v>
      </c>
      <c r="B7" s="31" t="s">
        <v>966</v>
      </c>
      <c r="C7" s="31" t="s">
        <v>656</v>
      </c>
      <c r="D7" s="31" t="s">
        <v>974</v>
      </c>
      <c r="E7" s="31" t="s">
        <v>975</v>
      </c>
      <c r="F7" s="35" t="s">
        <v>976</v>
      </c>
      <c r="G7" s="32" t="s">
        <v>963</v>
      </c>
    </row>
    <row r="8" customFormat="false" ht="15" hidden="false" customHeight="false" outlineLevel="0" collapsed="false">
      <c r="A8" s="31" t="s">
        <v>965</v>
      </c>
      <c r="B8" s="31" t="s">
        <v>966</v>
      </c>
      <c r="C8" s="31" t="s">
        <v>659</v>
      </c>
      <c r="D8" s="31" t="s">
        <v>974</v>
      </c>
      <c r="E8" s="32" t="s">
        <v>38</v>
      </c>
      <c r="F8" s="36" t="s">
        <v>977</v>
      </c>
      <c r="G8" s="32" t="s">
        <v>963</v>
      </c>
    </row>
    <row r="9" customFormat="false" ht="15" hidden="false" customHeight="false" outlineLevel="0" collapsed="false">
      <c r="A9" s="31" t="s">
        <v>965</v>
      </c>
      <c r="B9" s="31" t="s">
        <v>966</v>
      </c>
      <c r="C9" s="31" t="s">
        <v>662</v>
      </c>
      <c r="D9" s="31" t="s">
        <v>978</v>
      </c>
      <c r="E9" s="31" t="s">
        <v>979</v>
      </c>
      <c r="F9" s="36" t="s">
        <v>980</v>
      </c>
      <c r="G9" s="32" t="s">
        <v>963</v>
      </c>
    </row>
    <row r="10" customFormat="false" ht="15" hidden="false" customHeight="false" outlineLevel="0" collapsed="false">
      <c r="A10" s="31" t="s">
        <v>965</v>
      </c>
      <c r="B10" s="31" t="s">
        <v>966</v>
      </c>
      <c r="C10" s="31" t="s">
        <v>272</v>
      </c>
      <c r="D10" s="31" t="s">
        <v>633</v>
      </c>
      <c r="E10" s="31" t="s">
        <v>981</v>
      </c>
      <c r="F10" s="35" t="s">
        <v>982</v>
      </c>
      <c r="G10" s="32" t="s">
        <v>963</v>
      </c>
    </row>
    <row r="11" customFormat="false" ht="15" hidden="false" customHeight="false" outlineLevel="0" collapsed="false">
      <c r="A11" s="31" t="s">
        <v>965</v>
      </c>
      <c r="B11" s="31" t="s">
        <v>966</v>
      </c>
      <c r="C11" s="31" t="s">
        <v>382</v>
      </c>
      <c r="D11" s="31" t="n">
        <v>1</v>
      </c>
      <c r="E11" s="31" t="n">
        <v>0.5</v>
      </c>
      <c r="F11" s="35" t="s">
        <v>983</v>
      </c>
      <c r="G11" s="32" t="s">
        <v>963</v>
      </c>
    </row>
    <row r="12" customFormat="false" ht="15" hidden="false" customHeight="false" outlineLevel="0" collapsed="false">
      <c r="A12" s="31" t="s">
        <v>965</v>
      </c>
      <c r="B12" s="31" t="s">
        <v>966</v>
      </c>
      <c r="C12" s="31" t="s">
        <v>392</v>
      </c>
      <c r="D12" s="31" t="n">
        <v>2.5</v>
      </c>
      <c r="E12" s="31" t="n">
        <v>1.6</v>
      </c>
      <c r="F12" s="36" t="s">
        <v>984</v>
      </c>
      <c r="G12" s="32" t="s">
        <v>963</v>
      </c>
    </row>
    <row r="13" customFormat="false" ht="15" hidden="false" customHeight="false" outlineLevel="0" collapsed="false">
      <c r="A13" s="31" t="s">
        <v>965</v>
      </c>
      <c r="B13" s="31" t="s">
        <v>966</v>
      </c>
      <c r="C13" s="31" t="s">
        <v>985</v>
      </c>
      <c r="D13" s="32" t="s">
        <v>986</v>
      </c>
      <c r="E13" s="32" t="s">
        <v>32</v>
      </c>
      <c r="F13" s="36" t="s">
        <v>411</v>
      </c>
      <c r="G13" s="32" t="s">
        <v>963</v>
      </c>
    </row>
    <row r="14" customFormat="false" ht="15" hidden="false" customHeight="false" outlineLevel="0" collapsed="false">
      <c r="A14" s="31" t="s">
        <v>965</v>
      </c>
      <c r="B14" s="31" t="s">
        <v>966</v>
      </c>
      <c r="C14" s="31" t="s">
        <v>340</v>
      </c>
      <c r="D14" s="31" t="n">
        <v>2.6</v>
      </c>
      <c r="E14" s="31" t="n">
        <v>2.4</v>
      </c>
      <c r="F14" s="35" t="s">
        <v>987</v>
      </c>
      <c r="G14" s="32" t="s">
        <v>963</v>
      </c>
    </row>
    <row r="15" customFormat="false" ht="15" hidden="false" customHeight="false" outlineLevel="0" collapsed="false">
      <c r="A15" s="31" t="s">
        <v>965</v>
      </c>
      <c r="B15" s="31" t="s">
        <v>966</v>
      </c>
      <c r="C15" s="31" t="s">
        <v>988</v>
      </c>
      <c r="D15" s="31" t="s">
        <v>989</v>
      </c>
      <c r="E15" s="31" t="s">
        <v>990</v>
      </c>
      <c r="F15" s="36" t="s">
        <v>991</v>
      </c>
      <c r="G15" s="32" t="s">
        <v>963</v>
      </c>
    </row>
    <row r="16" customFormat="false" ht="15" hidden="false" customHeight="false" outlineLevel="0" collapsed="false">
      <c r="A16" s="31" t="s">
        <v>965</v>
      </c>
      <c r="B16" s="31" t="s">
        <v>966</v>
      </c>
      <c r="C16" s="31" t="s">
        <v>363</v>
      </c>
      <c r="D16" s="31" t="n">
        <v>1.4</v>
      </c>
      <c r="E16" s="31" t="s">
        <v>992</v>
      </c>
      <c r="F16" s="36" t="s">
        <v>993</v>
      </c>
      <c r="G16" s="32" t="s">
        <v>963</v>
      </c>
    </row>
    <row r="17" customFormat="false" ht="15" hidden="false" customHeight="false" outlineLevel="0" collapsed="false">
      <c r="A17" s="31" t="s">
        <v>965</v>
      </c>
      <c r="B17" s="31" t="s">
        <v>966</v>
      </c>
      <c r="C17" s="31" t="s">
        <v>994</v>
      </c>
      <c r="D17" s="31" t="s">
        <v>633</v>
      </c>
      <c r="E17" s="31" t="s">
        <v>995</v>
      </c>
      <c r="F17" s="35" t="s">
        <v>996</v>
      </c>
      <c r="G17" s="32" t="s">
        <v>963</v>
      </c>
    </row>
    <row r="18" customFormat="false" ht="15" hidden="false" customHeight="false" outlineLevel="0" collapsed="false">
      <c r="A18" s="31" t="s">
        <v>965</v>
      </c>
      <c r="B18" s="31" t="s">
        <v>966</v>
      </c>
      <c r="C18" s="31" t="s">
        <v>997</v>
      </c>
      <c r="D18" s="31" t="s">
        <v>998</v>
      </c>
      <c r="E18" s="31" t="s">
        <v>999</v>
      </c>
      <c r="F18" s="36" t="s">
        <v>1000</v>
      </c>
      <c r="G18" s="32" t="s">
        <v>963</v>
      </c>
    </row>
    <row r="19" customFormat="false" ht="15" hidden="false" customHeight="false" outlineLevel="0" collapsed="false">
      <c r="A19" s="31" t="s">
        <v>965</v>
      </c>
      <c r="B19" s="31" t="s">
        <v>966</v>
      </c>
      <c r="C19" s="31" t="s">
        <v>1001</v>
      </c>
      <c r="D19" s="31" t="s">
        <v>633</v>
      </c>
      <c r="E19" s="32" t="s">
        <v>1002</v>
      </c>
      <c r="F19" s="36" t="s">
        <v>1003</v>
      </c>
      <c r="G19" s="32" t="s">
        <v>963</v>
      </c>
    </row>
    <row r="20" customFormat="false" ht="15" hidden="false" customHeight="false" outlineLevel="0" collapsed="false">
      <c r="A20" s="31" t="s">
        <v>965</v>
      </c>
      <c r="B20" s="31" t="s">
        <v>966</v>
      </c>
      <c r="C20" s="31" t="s">
        <v>1004</v>
      </c>
      <c r="D20" s="31" t="s">
        <v>633</v>
      </c>
      <c r="E20" s="32" t="s">
        <v>38</v>
      </c>
      <c r="F20" s="35" t="s">
        <v>1005</v>
      </c>
      <c r="G20" s="32" t="s">
        <v>963</v>
      </c>
    </row>
    <row r="21" customFormat="false" ht="15" hidden="false" customHeight="false" outlineLevel="0" collapsed="false">
      <c r="A21" s="31" t="s">
        <v>965</v>
      </c>
      <c r="B21" s="31" t="s">
        <v>966</v>
      </c>
      <c r="C21" s="31" t="s">
        <v>699</v>
      </c>
      <c r="D21" s="31" t="n">
        <v>5</v>
      </c>
      <c r="E21" s="32" t="s">
        <v>1006</v>
      </c>
      <c r="F21" s="35" t="s">
        <v>1007</v>
      </c>
      <c r="G21" s="32" t="s">
        <v>963</v>
      </c>
    </row>
    <row r="22" customFormat="false" ht="15" hidden="false" customHeight="false" outlineLevel="0" collapsed="false">
      <c r="A22" s="31" t="s">
        <v>965</v>
      </c>
      <c r="B22" s="31" t="s">
        <v>966</v>
      </c>
      <c r="C22" s="31" t="s">
        <v>616</v>
      </c>
      <c r="D22" s="31" t="n">
        <v>6</v>
      </c>
      <c r="E22" s="31" t="n">
        <v>7</v>
      </c>
      <c r="F22" s="36" t="s">
        <v>1008</v>
      </c>
      <c r="G22" s="32" t="s">
        <v>963</v>
      </c>
    </row>
    <row r="23" customFormat="false" ht="15" hidden="false" customHeight="false" outlineLevel="0" collapsed="false">
      <c r="A23" s="31" t="s">
        <v>965</v>
      </c>
      <c r="B23" s="31" t="s">
        <v>966</v>
      </c>
      <c r="C23" s="31" t="s">
        <v>636</v>
      </c>
      <c r="D23" s="31" t="n">
        <v>6</v>
      </c>
      <c r="E23" s="31" t="n">
        <v>3.5</v>
      </c>
      <c r="F23" s="36" t="s">
        <v>1009</v>
      </c>
      <c r="G23" s="32" t="s">
        <v>963</v>
      </c>
    </row>
    <row r="24" customFormat="false" ht="15" hidden="false" customHeight="false" outlineLevel="0" collapsed="false">
      <c r="A24" s="31" t="s">
        <v>965</v>
      </c>
      <c r="B24" s="31" t="s">
        <v>966</v>
      </c>
      <c r="C24" s="31" t="s">
        <v>630</v>
      </c>
      <c r="D24" s="31" t="n">
        <v>60</v>
      </c>
      <c r="E24" s="31" t="s">
        <v>1010</v>
      </c>
      <c r="F24" s="36" t="s">
        <v>1011</v>
      </c>
      <c r="G24" s="32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2026-09-28T02:57:57Z</dcterms:created>
  <dc:creator>openpyxl</dc:creator>
  <dc:description/>
  <dc:language>en-US</dc:language>
  <cp:lastModifiedBy/>
  <dcterms:modified xsi:type="dcterms:W3CDTF">2026-09-30T01:58:19Z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